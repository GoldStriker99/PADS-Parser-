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cker" sheetId="1" state="visible" r:id="rId3"/>
    <sheet name="Box Tracker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<sst xmlns="http://schemas.openxmlformats.org/spreadsheetml/2006/main" count="452" uniqueCount="206">
  <si>
    <t xml:space="preserve">Tooling Number</t>
  </si>
  <si>
    <t xml:space="preserve">Part Number</t>
  </si>
  <si>
    <t xml:space="preserve">Location</t>
  </si>
  <si>
    <t xml:space="preserve">Driver Found?</t>
  </si>
  <si>
    <t xml:space="preserve">Driver Number</t>
  </si>
  <si>
    <t xml:space="preserve">Tooling Documentation in Agile?</t>
  </si>
  <si>
    <t xml:space="preserve">Driver Documentation in Agile?</t>
  </si>
  <si>
    <t xml:space="preserve">Notes</t>
  </si>
  <si>
    <t xml:space="preserve">Date Complete</t>
  </si>
  <si>
    <t xml:space="preserve">Sort Key</t>
  </si>
  <si>
    <t xml:space="preserve">208862</t>
  </si>
  <si>
    <t xml:space="preserve">304134
304371
10001073</t>
  </si>
  <si>
    <t xml:space="preserve">A1-A18</t>
  </si>
  <si>
    <t xml:space="preserve">☑</t>
  </si>
  <si>
    <t xml:space="preserve">Box 1</t>
  </si>
  <si>
    <t xml:space="preserve">☐</t>
  </si>
  <si>
    <t xml:space="preserve">driver files not in agile</t>
  </si>
  <si>
    <t xml:space="preserve">207476</t>
  </si>
  <si>
    <t xml:space="preserve">304009</t>
  </si>
  <si>
    <t xml:space="preserve">A19-A26</t>
  </si>
  <si>
    <t xml:space="preserve">203149</t>
  </si>
  <si>
    <t xml:space="preserve">blue driver box</t>
  </si>
  <si>
    <t xml:space="preserve">207771</t>
  </si>
  <si>
    <t xml:space="preserve">304232
304016
304116
304315</t>
  </si>
  <si>
    <t xml:space="preserve">A27-A30</t>
  </si>
  <si>
    <t xml:space="preserve">216120</t>
  </si>
  <si>
    <t xml:space="preserve">304761
405378</t>
  </si>
  <si>
    <t xml:space="preserve">A31-A45</t>
  </si>
  <si>
    <t xml:space="preserve">Box 2</t>
  </si>
  <si>
    <t xml:space="preserve">driver # not on box</t>
  </si>
  <si>
    <t xml:space="preserve">10003054</t>
  </si>
  <si>
    <t xml:space="preserve">10002940</t>
  </si>
  <si>
    <t xml:space="preserve">A46-A60</t>
  </si>
  <si>
    <t xml:space="preserve">Box 3</t>
  </si>
  <si>
    <t xml:space="preserve">210053</t>
  </si>
  <si>
    <t xml:space="preserve">304261
304262</t>
  </si>
  <si>
    <t xml:space="preserve">C61-C75</t>
  </si>
  <si>
    <t xml:space="preserve">Box 4</t>
  </si>
  <si>
    <t xml:space="preserve">210792</t>
  </si>
  <si>
    <t xml:space="preserve">403262
404380</t>
  </si>
  <si>
    <t xml:space="preserve">B1-B4</t>
  </si>
  <si>
    <t xml:space="preserve">210766</t>
  </si>
  <si>
    <t xml:space="preserve">403263
404381
404900</t>
  </si>
  <si>
    <t xml:space="preserve">B5-B8</t>
  </si>
  <si>
    <t xml:space="preserve">213868</t>
  </si>
  <si>
    <t xml:space="preserve">404379
404397
404399</t>
  </si>
  <si>
    <t xml:space="preserve">B9-B12</t>
  </si>
  <si>
    <t xml:space="preserve">213679</t>
  </si>
  <si>
    <t xml:space="preserve">210787</t>
  </si>
  <si>
    <t xml:space="preserve">304265
403260</t>
  </si>
  <si>
    <t xml:space="preserve">B13-B15</t>
  </si>
  <si>
    <t xml:space="preserve">208488</t>
  </si>
  <si>
    <t xml:space="preserve">304121</t>
  </si>
  <si>
    <t xml:space="preserve">B16-B19</t>
  </si>
  <si>
    <t xml:space="preserve">208791</t>
  </si>
  <si>
    <t xml:space="preserve">304122</t>
  </si>
  <si>
    <t xml:space="preserve">B20-B21</t>
  </si>
  <si>
    <t xml:space="preserve">Box 5</t>
  </si>
  <si>
    <t xml:space="preserve">208793</t>
  </si>
  <si>
    <t xml:space="preserve">304124</t>
  </si>
  <si>
    <t xml:space="preserve">B22-B23</t>
  </si>
  <si>
    <t xml:space="preserve">208794</t>
  </si>
  <si>
    <t xml:space="preserve">304125</t>
  </si>
  <si>
    <t xml:space="preserve">B24-B25</t>
  </si>
  <si>
    <t xml:space="preserve">208795</t>
  </si>
  <si>
    <t xml:space="preserve">304126</t>
  </si>
  <si>
    <t xml:space="preserve">B26-B27</t>
  </si>
  <si>
    <t xml:space="preserve">209442</t>
  </si>
  <si>
    <t xml:space="preserve">402980</t>
  </si>
  <si>
    <t xml:space="preserve">B28-B31</t>
  </si>
  <si>
    <t xml:space="preserve">Box 6</t>
  </si>
  <si>
    <t xml:space="preserve">209126</t>
  </si>
  <si>
    <t xml:space="preserve">304139
304233
304386</t>
  </si>
  <si>
    <t xml:space="preserve">B32-B35</t>
  </si>
  <si>
    <t xml:space="preserve">304217
304568
304674</t>
  </si>
  <si>
    <t xml:space="preserve">B36-B42</t>
  </si>
  <si>
    <t xml:space="preserve">208792</t>
  </si>
  <si>
    <t xml:space="preserve">304123
402981</t>
  </si>
  <si>
    <t xml:space="preserve">B43-B45</t>
  </si>
  <si>
    <t xml:space="preserve">208623</t>
  </si>
  <si>
    <t xml:space="preserve">304138</t>
  </si>
  <si>
    <t xml:space="preserve">B46-B50</t>
  </si>
  <si>
    <t xml:space="preserve">211264</t>
  </si>
  <si>
    <t xml:space="preserve">304314</t>
  </si>
  <si>
    <t xml:space="preserve">B51-B52</t>
  </si>
  <si>
    <t xml:space="preserve">Box 7</t>
  </si>
  <si>
    <t xml:space="preserve">211217</t>
  </si>
  <si>
    <t xml:space="preserve">403479</t>
  </si>
  <si>
    <t xml:space="preserve">B54-B55</t>
  </si>
  <si>
    <t xml:space="preserve">211377</t>
  </si>
  <si>
    <t xml:space="preserve">403480</t>
  </si>
  <si>
    <t xml:space="preserve">B56-B57</t>
  </si>
  <si>
    <t xml:space="preserve">211496</t>
  </si>
  <si>
    <t xml:space="preserve">403481</t>
  </si>
  <si>
    <t xml:space="preserve">B58-B59</t>
  </si>
  <si>
    <t xml:space="preserve">213849</t>
  </si>
  <si>
    <t xml:space="preserve">404309
404310</t>
  </si>
  <si>
    <t xml:space="preserve">B60-B64</t>
  </si>
  <si>
    <t xml:space="preserve">Box 8</t>
  </si>
  <si>
    <t xml:space="preserve">201923</t>
  </si>
  <si>
    <t xml:space="preserve">401063
402268
402362
404162</t>
  </si>
  <si>
    <t xml:space="preserve">B65-B71</t>
  </si>
  <si>
    <t xml:space="preserve">210062</t>
  </si>
  <si>
    <t xml:space="preserve">304290</t>
  </si>
  <si>
    <t xml:space="preserve">B73-B74</t>
  </si>
  <si>
    <t xml:space="preserve">215663</t>
  </si>
  <si>
    <t xml:space="preserve">304734</t>
  </si>
  <si>
    <t xml:space="preserve">C1-C8</t>
  </si>
  <si>
    <t xml:space="preserve">215577</t>
  </si>
  <si>
    <t xml:space="preserve">304735</t>
  </si>
  <si>
    <t xml:space="preserve">C9-C15</t>
  </si>
  <si>
    <t xml:space="preserve">212782</t>
  </si>
  <si>
    <t xml:space="preserve">404019
10005248</t>
  </si>
  <si>
    <t xml:space="preserve">C16-C38</t>
  </si>
  <si>
    <t xml:space="preserve">213680</t>
  </si>
  <si>
    <t xml:space="preserve">213251</t>
  </si>
  <si>
    <t xml:space="preserve">404026
10005416</t>
  </si>
  <si>
    <t xml:space="preserve">C52-C56</t>
  </si>
  <si>
    <t xml:space="preserve">213250</t>
  </si>
  <si>
    <t xml:space="preserve">404021
10005419</t>
  </si>
  <si>
    <t xml:space="preserve">C67-C75</t>
  </si>
  <si>
    <t xml:space="preserve">207770</t>
  </si>
  <si>
    <t xml:space="preserve">304022</t>
  </si>
  <si>
    <t xml:space="preserve">E1-E4</t>
  </si>
  <si>
    <t xml:space="preserve">Box 9</t>
  </si>
  <si>
    <t xml:space="preserve">204951</t>
  </si>
  <si>
    <t xml:space="preserve">302884</t>
  </si>
  <si>
    <t xml:space="preserve">E5-E9</t>
  </si>
  <si>
    <t xml:space="preserve">206808</t>
  </si>
  <si>
    <t xml:space="preserve">302887</t>
  </si>
  <si>
    <t xml:space="preserve">E10-E11</t>
  </si>
  <si>
    <t xml:space="preserve">ignore for now</t>
  </si>
  <si>
    <t xml:space="preserve">209175</t>
  </si>
  <si>
    <t xml:space="preserve">304156</t>
  </si>
  <si>
    <t xml:space="preserve">E12-E15</t>
  </si>
  <si>
    <t xml:space="preserve">10009530</t>
  </si>
  <si>
    <t xml:space="preserve">10008496</t>
  </si>
  <si>
    <t xml:space="preserve">E16-E18</t>
  </si>
  <si>
    <t xml:space="preserve">10009529</t>
  </si>
  <si>
    <t xml:space="preserve">10004897</t>
  </si>
  <si>
    <t xml:space="preserve">E19-E21</t>
  </si>
  <si>
    <t xml:space="preserve">208519</t>
  </si>
  <si>
    <t xml:space="preserve">304137</t>
  </si>
  <si>
    <t xml:space="preserve">E22-E26</t>
  </si>
  <si>
    <t xml:space="preserve">10006531</t>
  </si>
  <si>
    <t xml:space="preserve">10006360</t>
  </si>
  <si>
    <t xml:space="preserve">E27-E28</t>
  </si>
  <si>
    <t xml:space="preserve">209117</t>
  </si>
  <si>
    <t xml:space="preserve">304150</t>
  </si>
  <si>
    <t xml:space="preserve">E31-E35</t>
  </si>
  <si>
    <t xml:space="preserve">206338</t>
  </si>
  <si>
    <t xml:space="preserve">302934</t>
  </si>
  <si>
    <t xml:space="preserve">E36-E41</t>
  </si>
  <si>
    <t xml:space="preserve">Box 10</t>
  </si>
  <si>
    <t xml:space="preserve">208778</t>
  </si>
  <si>
    <t xml:space="preserve">303950</t>
  </si>
  <si>
    <t xml:space="preserve">E42-E45</t>
  </si>
  <si>
    <t xml:space="preserve">213908</t>
  </si>
  <si>
    <t xml:space="preserve">304617</t>
  </si>
  <si>
    <t xml:space="preserve">E46-E51</t>
  </si>
  <si>
    <t xml:space="preserve">213098</t>
  </si>
  <si>
    <t xml:space="preserve">404308</t>
  </si>
  <si>
    <t xml:space="preserve">E52-E58</t>
  </si>
  <si>
    <t xml:space="preserve">213088</t>
  </si>
  <si>
    <t xml:space="preserve">404307</t>
  </si>
  <si>
    <t xml:space="preserve">E59-E62</t>
  </si>
  <si>
    <t xml:space="preserve">212862</t>
  </si>
  <si>
    <t xml:space="preserve">404017
404018
10004252
10005366</t>
  </si>
  <si>
    <t xml:space="preserve">G1-G80</t>
  </si>
  <si>
    <t xml:space="preserve">Box Number</t>
  </si>
  <si>
    <t xml:space="preserve">Associated Part Numbers</t>
  </si>
  <si>
    <t xml:space="preserve">Driver Part Number(s)</t>
  </si>
  <si>
    <t xml:space="preserve">304761
405378
403262
404380
403263
404381
404900
304265
403260
304156</t>
  </si>
  <si>
    <t xml:space="preserve">304261
304262
304290</t>
  </si>
  <si>
    <t xml:space="preserve">304122
304124
304125
304126
304139
304233
304386
304217
304568
304674
304123
402981</t>
  </si>
  <si>
    <t xml:space="preserve">Driver Board Agile Documentation Verification</t>
  </si>
  <si>
    <t xml:space="preserve">One row per inventory-sheet entry. Tooling and driver documentation are tracked separately.</t>
  </si>
  <si>
    <t xml:space="preserve">Cabinet</t>
  </si>
  <si>
    <t xml:space="preserve">Entries</t>
  </si>
  <si>
    <t xml:space="preserve">Tooling Docs in Agile</t>
  </si>
  <si>
    <t xml:space="preserve">Tooling %</t>
  </si>
  <si>
    <t xml:space="preserve">Driver Docs in Agile</t>
  </si>
  <si>
    <t xml:space="preserve">Driver %</t>
  </si>
  <si>
    <t xml:space="preserve">A</t>
  </si>
  <si>
    <t xml:space="preserve">B</t>
  </si>
  <si>
    <t xml:space="preserve">C</t>
  </si>
  <si>
    <t xml:space="preserve">E</t>
  </si>
  <si>
    <t xml:space="preserve">G</t>
  </si>
  <si>
    <t xml:space="preserve">Total</t>
  </si>
  <si>
    <t xml:space="preserve">How to Use</t>
  </si>
  <si>
    <t xml:space="preserve">1. Checkboxes: tap the cell and pick ☑ (checked) or ☐ (unchecked) from the dropdown. Blank counts as unchecked.</t>
  </si>
  <si>
    <t xml:space="preserve">2. If the driver is found, check 'Driver Found?' and enter its number in Driver Number.</t>
  </si>
  <si>
    <t xml:space="preserve">3. Check 'Tooling Documentation in Agile?' and 'Driver Documentation in Agile?' as you verify each in Agile.</t>
  </si>
  <si>
    <t xml:space="preserve">    The row turns green when BOTH are checked, and the Summary above tracks each one separately.</t>
  </si>
  <si>
    <t xml:space="preserve">4. ADDING AN ENTRY: type it in the first empty row under the table (Location can be a single slot like B50 or a range like B50-B52).</t>
  </si>
  <si>
    <t xml:space="preserve">    Sort Key fills in automatically; click its header arrow and Sort A to Z to slot the entry into the correct position.</t>
  </si>
  <si>
    <t xml:space="preserve">    If a multi-line row looks clipped after sorting, select the rows and use Home &gt; Format &gt; AutoFit Row Height.</t>
  </si>
  <si>
    <t xml:space="preserve">5. Notes is free text. Date Complete uses mm/dd/yyyy.</t>
  </si>
  <si>
    <t xml:space="preserve">Example entry (format only - not real data; Sort Key fills itself):</t>
  </si>
  <si>
    <t xml:space="preserve">205999</t>
  </si>
  <si>
    <t xml:space="preserve">301234
301235</t>
  </si>
  <si>
    <t xml:space="preserve">B50-B52</t>
  </si>
  <si>
    <t xml:space="preserve">208001</t>
  </si>
  <si>
    <t xml:space="preserve">Verified against Agile rev B</t>
  </si>
  <si>
    <t xml:space="preserve">07/20/2026</t>
  </si>
  <si>
    <t xml:space="preserve">B050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</si>
</sst>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mm/dd/yyyy"/>
    <numFmt numFmtId="167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2"/>
      <name val="Arial"/>
      <family val="0"/>
      <charset val="1"/>
    </font>
    <font>
      <sz val="10"/>
      <name val="Arial"/>
      <family val="2"/>
      <charset val="1"/>
    </font>
    <font>
      <i val="true"/>
      <sz val="9"/>
      <color rgb="FF808080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8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D9D9"/>
        <bgColor rgb="FFE4DFEC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ill>
        <patternFill patternType="solid">
          <fgColor rgb="FF1F4E78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4DFEC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ont>
        <name val="Arial"/>
        <charset val="1"/>
        <family val="0"/>
        <color rgb="FF006100"/>
        <sz val="10"/>
      </font>
      <fill>
        <patternFill>
          <bgColor rgb="FFC6EFCE"/>
        </patternFill>
      </fill>
    </dxf>
    <dxf>
      <fill>
        <patternFill>
          <bgColor rgb="FFDCE6F1"/>
        </patternFill>
      </fill>
    </dxf>
    <dxf>
      <fill>
        <patternFill>
          <bgColor rgb="FFE2EFDA"/>
        </patternFill>
      </fill>
    </dxf>
    <dxf>
      <fill>
        <patternFill>
          <bgColor rgb="FFFCE4D6"/>
        </patternFill>
      </fill>
    </dxf>
    <dxf>
      <fill>
        <patternFill>
          <bgColor rgb="FFE4DFEC"/>
        </patternFill>
      </fill>
    </dxf>
    <dxf>
      <fill>
        <patternFill>
          <bgColor rgb="FFE7E6E6"/>
        </patternFill>
      </fill>
    </dxf>
    <dxf>
      <font>
        <name val="Arial"/>
        <charset val="1"/>
        <family val="0"/>
        <color rgb="FF006100"/>
        <sz val="1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C6EFCE"/>
      <rgbColor rgb="FFE7E6E6"/>
      <rgbColor rgb="FFE4DFEC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BoardTracker" displayName="BoardTracker" ref="A1:J48" headerRowCount="1" totalsRowCount="0" totalsRowShown="0">
  <autoFilter ref="A1:J48"/>
  <tableColumns count="10">
    <tableColumn id="1" name="Tooling Number"/>
    <tableColumn id="2" name="Part Number"/>
    <tableColumn id="3" name="Location"/>
    <tableColumn id="4" name="Driver Found?"/>
    <tableColumn id="5" name="Driver Number"/>
    <tableColumn id="6" name="Tooling Documentation in Agile?"/>
    <tableColumn id="7" name="Driver Documentation in Agile?"/>
    <tableColumn id="8" name="Notes"/>
    <tableColumn id="9" name="Date Complete"/>
    <tableColumn id="10" name="Sort Key"/>
  </tableColumns>
</table>
</file>

<file path=xl/tables/table2.xml><?xml version="1.0" encoding="utf-8"?>
<table xmlns="http://schemas.openxmlformats.org/spreadsheetml/2006/main" id="2" name="BoxTracker" displayName="BoxTracker" ref="A1:F11" headerRowCount="1" totalsRowCount="0" totalsRowShown="0">
  <autoFilter ref="A1:F11"/>
  <tableColumns count="6">
    <tableColumn id="1" name="Box Number"/>
    <tableColumn id="2" name="Associated Part Numbers"/>
    <tableColumn id="3" name="Driver Part Number(s)"/>
    <tableColumn id="4" name="Driver Documentation in Agile?"/>
    <tableColumn id="5" name="Notes"/>
    <tableColumn id="6" name="Date Complet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H6" activeCellId="0" sqref="H6"/>
    </sheetView>
  </sheetViews>
  <sheetFormatPr defaultColWidth="8.66796875" defaultRowHeight="14.25" zeroHeight="false" outlineLevelRow="0" outlineLevelCol="0"/>
  <cols>
    <col collapsed="false" customWidth="true" hidden="false" outlineLevel="0" max="2" min="1" style="1" width="15"/>
    <col collapsed="false" customWidth="true" hidden="false" outlineLevel="0" max="4" min="3" style="1" width="12"/>
    <col collapsed="false" customWidth="true" hidden="false" outlineLevel="0" max="5" min="5" style="1" width="14"/>
    <col collapsed="false" customWidth="true" hidden="false" outlineLevel="0" max="7" min="6" style="1" width="15"/>
    <col collapsed="false" customWidth="true" hidden="false" outlineLevel="0" max="8" min="8" style="1" width="40"/>
    <col collapsed="false" customWidth="true" hidden="false" outlineLevel="0" max="9" min="9" style="1" width="13"/>
    <col collapsed="false" customWidth="true" hidden="false" outlineLevel="0" max="10" min="10" style="1" width="9"/>
  </cols>
  <sheetData>
    <row r="1" customFormat="false" ht="42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45" hidden="false" customHeight="true" outlineLevel="0" collapsed="false">
      <c r="A2" s="3" t="s">
        <v>10</v>
      </c>
      <c r="B2" s="4" t="s">
        <v>11</v>
      </c>
      <c r="C2" s="5" t="s">
        <v>12</v>
      </c>
      <c r="D2" s="6" t="s">
        <v>13</v>
      </c>
      <c r="E2" s="7" t="s">
        <v>14</v>
      </c>
      <c r="F2" s="6" t="s">
        <v>13</v>
      </c>
      <c r="G2" s="6" t="s">
        <v>15</v>
      </c>
      <c r="H2" s="8" t="s">
        <v>16</v>
      </c>
      <c r="I2" s="9"/>
      <c r="J2" s="10" t="str">
        <f aca="false">IF($C2="","",LEFT($C2,1)&amp;TEXT(VALUE(MID($C2,2,IFERROR(FIND("-",$C2),LEN($C2)+1)-2)),"000"))</f>
        <v>A001</v>
      </c>
    </row>
    <row r="3" customFormat="false" ht="15.75" hidden="false" customHeight="true" outlineLevel="0" collapsed="false">
      <c r="A3" s="3" t="s">
        <v>17</v>
      </c>
      <c r="B3" s="4" t="s">
        <v>18</v>
      </c>
      <c r="C3" s="5" t="s">
        <v>19</v>
      </c>
      <c r="D3" s="6" t="s">
        <v>13</v>
      </c>
      <c r="E3" s="3" t="s">
        <v>20</v>
      </c>
      <c r="F3" s="6" t="s">
        <v>13</v>
      </c>
      <c r="G3" s="6" t="s">
        <v>15</v>
      </c>
      <c r="H3" s="11" t="s">
        <v>21</v>
      </c>
      <c r="I3" s="9"/>
      <c r="J3" s="10" t="str">
        <f aca="false">IF($C3="","",LEFT($C3,1)&amp;TEXT(VALUE(MID($C3,2,IFERROR(FIND("-",$C3),LEN($C3)+1)-2)),"000"))</f>
        <v>A019</v>
      </c>
    </row>
    <row r="4" customFormat="false" ht="58.5" hidden="false" customHeight="true" outlineLevel="0" collapsed="false">
      <c r="A4" s="3" t="s">
        <v>22</v>
      </c>
      <c r="B4" s="4" t="s">
        <v>23</v>
      </c>
      <c r="C4" s="5" t="s">
        <v>24</v>
      </c>
      <c r="D4" s="6" t="s">
        <v>13</v>
      </c>
      <c r="E4" s="3" t="s">
        <v>20</v>
      </c>
      <c r="F4" s="6" t="s">
        <v>13</v>
      </c>
      <c r="G4" s="6" t="s">
        <v>15</v>
      </c>
      <c r="H4" s="11" t="s">
        <v>21</v>
      </c>
      <c r="I4" s="9"/>
      <c r="J4" s="10" t="str">
        <f aca="false">IF($C4="","",LEFT($C4,1)&amp;TEXT(VALUE(MID($C4,2,IFERROR(FIND("-",$C4),LEN($C4)+1)-2)),"000"))</f>
        <v>A027</v>
      </c>
    </row>
    <row r="5" customFormat="false" ht="31.5" hidden="false" customHeight="true" outlineLevel="0" collapsed="false">
      <c r="A5" s="3" t="s">
        <v>25</v>
      </c>
      <c r="B5" s="4" t="s">
        <v>26</v>
      </c>
      <c r="C5" s="5" t="s">
        <v>27</v>
      </c>
      <c r="D5" s="6" t="s">
        <v>13</v>
      </c>
      <c r="E5" s="3" t="s">
        <v>28</v>
      </c>
      <c r="F5" s="6" t="s">
        <v>13</v>
      </c>
      <c r="G5" s="6" t="s">
        <v>15</v>
      </c>
      <c r="H5" s="11" t="s">
        <v>29</v>
      </c>
      <c r="I5" s="9"/>
      <c r="J5" s="10" t="str">
        <f aca="false">IF($C5="","",LEFT($C5,1)&amp;TEXT(VALUE(MID($C5,2,IFERROR(FIND("-",$C5),LEN($C5)+1)-2)),"000"))</f>
        <v>A031</v>
      </c>
    </row>
    <row r="6" customFormat="false" ht="15.75" hidden="false" customHeight="true" outlineLevel="0" collapsed="false">
      <c r="A6" s="3" t="s">
        <v>30</v>
      </c>
      <c r="B6" s="4" t="s">
        <v>31</v>
      </c>
      <c r="C6" s="5" t="s">
        <v>32</v>
      </c>
      <c r="D6" s="6" t="s">
        <v>13</v>
      </c>
      <c r="E6" s="3" t="s">
        <v>33</v>
      </c>
      <c r="F6" s="6" t="s">
        <v>13</v>
      </c>
      <c r="G6" s="6" t="s">
        <v>15</v>
      </c>
      <c r="H6" s="11" t="s">
        <v>29</v>
      </c>
      <c r="I6" s="9"/>
      <c r="J6" s="10" t="str">
        <f aca="false">IF($C6="","",LEFT($C6,1)&amp;TEXT(VALUE(MID($C6,2,IFERROR(FIND("-",$C6),LEN($C6)+1)-2)),"000"))</f>
        <v>A046</v>
      </c>
    </row>
    <row r="7" customFormat="false" ht="31.5" hidden="false" customHeight="true" outlineLevel="0" collapsed="false">
      <c r="A7" s="3" t="s">
        <v>34</v>
      </c>
      <c r="B7" s="4" t="s">
        <v>35</v>
      </c>
      <c r="C7" s="5" t="s">
        <v>36</v>
      </c>
      <c r="D7" s="6" t="s">
        <v>13</v>
      </c>
      <c r="E7" s="3" t="s">
        <v>37</v>
      </c>
      <c r="F7" s="6" t="s">
        <v>13</v>
      </c>
      <c r="G7" s="6" t="s">
        <v>15</v>
      </c>
      <c r="H7" s="11" t="s">
        <v>29</v>
      </c>
      <c r="I7" s="9"/>
      <c r="J7" s="10" t="str">
        <f aca="false">IF($C7="","",LEFT($C7,1)&amp;TEXT(VALUE(MID($C7,2,IFERROR(FIND("-",$C7),LEN($C7)+1)-2)),"000"))</f>
        <v>C061</v>
      </c>
    </row>
    <row r="8" customFormat="false" ht="31.5" hidden="false" customHeight="true" outlineLevel="0" collapsed="false">
      <c r="A8" s="3" t="s">
        <v>38</v>
      </c>
      <c r="B8" s="4" t="s">
        <v>39</v>
      </c>
      <c r="C8" s="5" t="s">
        <v>40</v>
      </c>
      <c r="D8" s="6" t="s">
        <v>13</v>
      </c>
      <c r="E8" s="3" t="s">
        <v>28</v>
      </c>
      <c r="F8" s="6" t="s">
        <v>13</v>
      </c>
      <c r="G8" s="6" t="s">
        <v>15</v>
      </c>
      <c r="H8" s="11" t="s">
        <v>29</v>
      </c>
      <c r="I8" s="9"/>
      <c r="J8" s="10" t="str">
        <f aca="false">IF($C8="","",LEFT($C8,1)&amp;TEXT(VALUE(MID($C8,2,IFERROR(FIND("-",$C8),LEN($C8)+1)-2)),"000"))</f>
        <v>B001</v>
      </c>
    </row>
    <row r="9" customFormat="false" ht="45" hidden="false" customHeight="true" outlineLevel="0" collapsed="false">
      <c r="A9" s="3" t="s">
        <v>41</v>
      </c>
      <c r="B9" s="4" t="s">
        <v>42</v>
      </c>
      <c r="C9" s="5" t="s">
        <v>43</v>
      </c>
      <c r="D9" s="6" t="s">
        <v>13</v>
      </c>
      <c r="E9" s="3" t="s">
        <v>28</v>
      </c>
      <c r="F9" s="6" t="s">
        <v>13</v>
      </c>
      <c r="G9" s="6" t="s">
        <v>15</v>
      </c>
      <c r="H9" s="11" t="s">
        <v>29</v>
      </c>
      <c r="I9" s="9"/>
      <c r="J9" s="10" t="str">
        <f aca="false">IF($C9="","",LEFT($C9,1)&amp;TEXT(VALUE(MID($C9,2,IFERROR(FIND("-",$C9),LEN($C9)+1)-2)),"000"))</f>
        <v>B005</v>
      </c>
    </row>
    <row r="10" customFormat="false" ht="45" hidden="false" customHeight="true" outlineLevel="0" collapsed="false">
      <c r="A10" s="3" t="s">
        <v>44</v>
      </c>
      <c r="B10" s="4" t="s">
        <v>45</v>
      </c>
      <c r="C10" s="5" t="s">
        <v>46</v>
      </c>
      <c r="D10" s="6" t="s">
        <v>13</v>
      </c>
      <c r="E10" s="7" t="s">
        <v>47</v>
      </c>
      <c r="F10" s="6" t="s">
        <v>13</v>
      </c>
      <c r="G10" s="6" t="s">
        <v>13</v>
      </c>
      <c r="H10" s="11"/>
      <c r="I10" s="9" t="n">
        <v>46224</v>
      </c>
      <c r="J10" s="10" t="str">
        <f aca="false">IF($C10="","",LEFT($C10,1)&amp;TEXT(VALUE(MID($C10,2,IFERROR(FIND("-",$C10),LEN($C10)+1)-2)),"000"))</f>
        <v>B009</v>
      </c>
    </row>
    <row r="11" customFormat="false" ht="31.5" hidden="false" customHeight="true" outlineLevel="0" collapsed="false">
      <c r="A11" s="3" t="s">
        <v>48</v>
      </c>
      <c r="B11" s="4" t="s">
        <v>49</v>
      </c>
      <c r="C11" s="5" t="s">
        <v>50</v>
      </c>
      <c r="D11" s="6" t="s">
        <v>13</v>
      </c>
      <c r="E11" s="3" t="s">
        <v>28</v>
      </c>
      <c r="F11" s="6" t="s">
        <v>13</v>
      </c>
      <c r="G11" s="6" t="s">
        <v>15</v>
      </c>
      <c r="H11" s="11" t="s">
        <v>29</v>
      </c>
      <c r="I11" s="9"/>
      <c r="J11" s="10" t="str">
        <f aca="false">IF($C11="","",LEFT($C11,1)&amp;TEXT(VALUE(MID($C11,2,IFERROR(FIND("-",$C11),LEN($C11)+1)-2)),"000"))</f>
        <v>B013</v>
      </c>
    </row>
    <row r="12" customFormat="false" ht="15.75" hidden="false" customHeight="true" outlineLevel="0" collapsed="false">
      <c r="A12" s="3" t="s">
        <v>51</v>
      </c>
      <c r="B12" s="4" t="s">
        <v>52</v>
      </c>
      <c r="C12" s="5" t="s">
        <v>53</v>
      </c>
      <c r="D12" s="6" t="s">
        <v>13</v>
      </c>
      <c r="E12" s="3" t="s">
        <v>20</v>
      </c>
      <c r="F12" s="6" t="s">
        <v>13</v>
      </c>
      <c r="G12" s="6" t="s">
        <v>15</v>
      </c>
      <c r="H12" s="11" t="s">
        <v>21</v>
      </c>
      <c r="I12" s="9"/>
      <c r="J12" s="10" t="str">
        <f aca="false">IF($C12="","",LEFT($C12,1)&amp;TEXT(VALUE(MID($C12,2,IFERROR(FIND("-",$C12),LEN($C12)+1)-2)),"000"))</f>
        <v>B016</v>
      </c>
    </row>
    <row r="13" customFormat="false" ht="15.75" hidden="false" customHeight="true" outlineLevel="0" collapsed="false">
      <c r="A13" s="3" t="s">
        <v>54</v>
      </c>
      <c r="B13" s="4" t="s">
        <v>55</v>
      </c>
      <c r="C13" s="5" t="s">
        <v>56</v>
      </c>
      <c r="D13" s="6" t="s">
        <v>13</v>
      </c>
      <c r="E13" s="3" t="s">
        <v>57</v>
      </c>
      <c r="F13" s="6" t="s">
        <v>13</v>
      </c>
      <c r="G13" s="6" t="s">
        <v>15</v>
      </c>
      <c r="H13" s="11" t="s">
        <v>29</v>
      </c>
      <c r="I13" s="9"/>
      <c r="J13" s="10" t="str">
        <f aca="false">IF($C13="","",LEFT($C13,1)&amp;TEXT(VALUE(MID($C13,2,IFERROR(FIND("-",$C13),LEN($C13)+1)-2)),"000"))</f>
        <v>B020</v>
      </c>
    </row>
    <row r="14" customFormat="false" ht="15.75" hidden="false" customHeight="true" outlineLevel="0" collapsed="false">
      <c r="A14" s="3" t="s">
        <v>58</v>
      </c>
      <c r="B14" s="4" t="s">
        <v>59</v>
      </c>
      <c r="C14" s="5" t="s">
        <v>60</v>
      </c>
      <c r="D14" s="6" t="s">
        <v>13</v>
      </c>
      <c r="E14" s="3" t="s">
        <v>57</v>
      </c>
      <c r="F14" s="6" t="s">
        <v>13</v>
      </c>
      <c r="G14" s="6" t="s">
        <v>15</v>
      </c>
      <c r="H14" s="11" t="s">
        <v>29</v>
      </c>
      <c r="I14" s="9"/>
      <c r="J14" s="10" t="str">
        <f aca="false">IF($C14="","",LEFT($C14,1)&amp;TEXT(VALUE(MID($C14,2,IFERROR(FIND("-",$C14),LEN($C14)+1)-2)),"000"))</f>
        <v>B022</v>
      </c>
    </row>
    <row r="15" customFormat="false" ht="15.75" hidden="false" customHeight="true" outlineLevel="0" collapsed="false">
      <c r="A15" s="3" t="s">
        <v>61</v>
      </c>
      <c r="B15" s="4" t="s">
        <v>62</v>
      </c>
      <c r="C15" s="5" t="s">
        <v>63</v>
      </c>
      <c r="D15" s="6" t="s">
        <v>13</v>
      </c>
      <c r="E15" s="3" t="s">
        <v>57</v>
      </c>
      <c r="F15" s="6" t="s">
        <v>13</v>
      </c>
      <c r="G15" s="6" t="s">
        <v>15</v>
      </c>
      <c r="H15" s="11" t="s">
        <v>29</v>
      </c>
      <c r="I15" s="9"/>
      <c r="J15" s="10" t="str">
        <f aca="false">IF($C15="","",LEFT($C15,1)&amp;TEXT(VALUE(MID($C15,2,IFERROR(FIND("-",$C15),LEN($C15)+1)-2)),"000"))</f>
        <v>B024</v>
      </c>
    </row>
    <row r="16" customFormat="false" ht="15.75" hidden="false" customHeight="true" outlineLevel="0" collapsed="false">
      <c r="A16" s="3" t="s">
        <v>64</v>
      </c>
      <c r="B16" s="4" t="s">
        <v>65</v>
      </c>
      <c r="C16" s="5" t="s">
        <v>66</v>
      </c>
      <c r="D16" s="6" t="s">
        <v>13</v>
      </c>
      <c r="E16" s="3" t="s">
        <v>57</v>
      </c>
      <c r="F16" s="6" t="s">
        <v>13</v>
      </c>
      <c r="G16" s="6" t="s">
        <v>15</v>
      </c>
      <c r="H16" s="11" t="s">
        <v>29</v>
      </c>
      <c r="I16" s="9"/>
      <c r="J16" s="10" t="str">
        <f aca="false">IF($C16="","",LEFT($C16,1)&amp;TEXT(VALUE(MID($C16,2,IFERROR(FIND("-",$C16),LEN($C16)+1)-2)),"000"))</f>
        <v>B026</v>
      </c>
    </row>
    <row r="17" customFormat="false" ht="15.75" hidden="false" customHeight="true" outlineLevel="0" collapsed="false">
      <c r="A17" s="3" t="s">
        <v>67</v>
      </c>
      <c r="B17" s="4" t="s">
        <v>68</v>
      </c>
      <c r="C17" s="5" t="s">
        <v>69</v>
      </c>
      <c r="D17" s="6" t="s">
        <v>13</v>
      </c>
      <c r="E17" s="3" t="s">
        <v>70</v>
      </c>
      <c r="F17" s="6" t="s">
        <v>13</v>
      </c>
      <c r="G17" s="6" t="s">
        <v>15</v>
      </c>
      <c r="H17" s="11" t="s">
        <v>29</v>
      </c>
      <c r="I17" s="9"/>
      <c r="J17" s="10" t="str">
        <f aca="false">IF($C17="","",LEFT($C17,1)&amp;TEXT(VALUE(MID($C17,2,IFERROR(FIND("-",$C17),LEN($C17)+1)-2)),"000"))</f>
        <v>B028</v>
      </c>
    </row>
    <row r="18" customFormat="false" ht="45" hidden="false" customHeight="true" outlineLevel="0" collapsed="false">
      <c r="A18" s="3" t="s">
        <v>71</v>
      </c>
      <c r="B18" s="4" t="s">
        <v>72</v>
      </c>
      <c r="C18" s="5" t="s">
        <v>73</v>
      </c>
      <c r="D18" s="6" t="s">
        <v>13</v>
      </c>
      <c r="E18" s="3" t="s">
        <v>57</v>
      </c>
      <c r="F18" s="6" t="s">
        <v>13</v>
      </c>
      <c r="G18" s="6" t="s">
        <v>15</v>
      </c>
      <c r="H18" s="11" t="s">
        <v>29</v>
      </c>
      <c r="I18" s="9"/>
      <c r="J18" s="10" t="str">
        <f aca="false">IF($C18="","",LEFT($C18,1)&amp;TEXT(VALUE(MID($C18,2,IFERROR(FIND("-",$C18),LEN($C18)+1)-2)),"000"))</f>
        <v>B032</v>
      </c>
    </row>
    <row r="19" customFormat="false" ht="45" hidden="false" customHeight="true" outlineLevel="0" collapsed="false">
      <c r="A19" s="3" t="s">
        <v>10</v>
      </c>
      <c r="B19" s="4" t="s">
        <v>74</v>
      </c>
      <c r="C19" s="5" t="s">
        <v>75</v>
      </c>
      <c r="D19" s="6" t="s">
        <v>13</v>
      </c>
      <c r="E19" s="3" t="s">
        <v>57</v>
      </c>
      <c r="F19" s="6" t="s">
        <v>13</v>
      </c>
      <c r="G19" s="6" t="s">
        <v>15</v>
      </c>
      <c r="H19" s="11" t="s">
        <v>29</v>
      </c>
      <c r="I19" s="9"/>
      <c r="J19" s="10" t="str">
        <f aca="false">IF($C19="","",LEFT($C19,1)&amp;TEXT(VALUE(MID($C19,2,IFERROR(FIND("-",$C19),LEN($C19)+1)-2)),"000"))</f>
        <v>B036</v>
      </c>
    </row>
    <row r="20" customFormat="false" ht="31.5" hidden="false" customHeight="true" outlineLevel="0" collapsed="false">
      <c r="A20" s="3" t="s">
        <v>76</v>
      </c>
      <c r="B20" s="4" t="s">
        <v>77</v>
      </c>
      <c r="C20" s="5" t="s">
        <v>78</v>
      </c>
      <c r="D20" s="6" t="s">
        <v>13</v>
      </c>
      <c r="E20" s="3" t="s">
        <v>57</v>
      </c>
      <c r="F20" s="6" t="s">
        <v>13</v>
      </c>
      <c r="G20" s="6" t="s">
        <v>15</v>
      </c>
      <c r="H20" s="11" t="s">
        <v>29</v>
      </c>
      <c r="I20" s="9"/>
      <c r="J20" s="10" t="str">
        <f aca="false">IF($C20="","",LEFT($C20,1)&amp;TEXT(VALUE(MID($C20,2,IFERROR(FIND("-",$C20),LEN($C20)+1)-2)),"000"))</f>
        <v>B043</v>
      </c>
    </row>
    <row r="21" customFormat="false" ht="15.75" hidden="false" customHeight="true" outlineLevel="0" collapsed="false">
      <c r="A21" s="3" t="s">
        <v>79</v>
      </c>
      <c r="B21" s="4" t="s">
        <v>80</v>
      </c>
      <c r="C21" s="5" t="s">
        <v>81</v>
      </c>
      <c r="D21" s="6" t="s">
        <v>13</v>
      </c>
      <c r="E21" s="3" t="s">
        <v>20</v>
      </c>
      <c r="F21" s="6" t="s">
        <v>13</v>
      </c>
      <c r="G21" s="6" t="s">
        <v>15</v>
      </c>
      <c r="H21" s="11" t="s">
        <v>21</v>
      </c>
      <c r="I21" s="9"/>
      <c r="J21" s="10" t="str">
        <f aca="false">IF($C21="","",LEFT($C21,1)&amp;TEXT(VALUE(MID($C21,2,IFERROR(FIND("-",$C21),LEN($C21)+1)-2)),"000"))</f>
        <v>B046</v>
      </c>
    </row>
    <row r="22" customFormat="false" ht="15.75" hidden="false" customHeight="true" outlineLevel="0" collapsed="false">
      <c r="A22" s="3" t="s">
        <v>82</v>
      </c>
      <c r="B22" s="4" t="s">
        <v>83</v>
      </c>
      <c r="C22" s="5" t="s">
        <v>84</v>
      </c>
      <c r="D22" s="6" t="s">
        <v>13</v>
      </c>
      <c r="E22" s="3" t="s">
        <v>85</v>
      </c>
      <c r="F22" s="6" t="s">
        <v>13</v>
      </c>
      <c r="G22" s="6" t="s">
        <v>15</v>
      </c>
      <c r="H22" s="11" t="s">
        <v>29</v>
      </c>
      <c r="J22" s="10" t="str">
        <f aca="false">IF($C22="","",LEFT($C22,1)&amp;TEXT(VALUE(MID($C22,2,IFERROR(FIND("-",$C22),LEN($C22)+1)-2)),"000"))</f>
        <v>B051</v>
      </c>
    </row>
    <row r="23" customFormat="false" ht="15.75" hidden="false" customHeight="true" outlineLevel="0" collapsed="false">
      <c r="A23" s="3" t="s">
        <v>86</v>
      </c>
      <c r="B23" s="4" t="s">
        <v>87</v>
      </c>
      <c r="C23" s="5" t="s">
        <v>88</v>
      </c>
      <c r="D23" s="6" t="s">
        <v>13</v>
      </c>
      <c r="E23" s="7" t="s">
        <v>86</v>
      </c>
      <c r="F23" s="6" t="s">
        <v>13</v>
      </c>
      <c r="G23" s="6" t="s">
        <v>13</v>
      </c>
      <c r="H23" s="11"/>
      <c r="I23" s="9" t="n">
        <v>46224</v>
      </c>
      <c r="J23" s="10" t="str">
        <f aca="false">IF($C23="","",LEFT($C23,1)&amp;TEXT(VALUE(MID($C23,2,IFERROR(FIND("-",$C23),LEN($C23)+1)-2)),"000"))</f>
        <v>B054</v>
      </c>
    </row>
    <row r="24" customFormat="false" ht="15.75" hidden="false" customHeight="true" outlineLevel="0" collapsed="false">
      <c r="A24" s="3" t="s">
        <v>89</v>
      </c>
      <c r="B24" s="4" t="s">
        <v>90</v>
      </c>
      <c r="C24" s="5" t="s">
        <v>91</v>
      </c>
      <c r="D24" s="6" t="s">
        <v>13</v>
      </c>
      <c r="E24" s="7" t="s">
        <v>86</v>
      </c>
      <c r="F24" s="6" t="s">
        <v>13</v>
      </c>
      <c r="G24" s="6" t="s">
        <v>13</v>
      </c>
      <c r="H24" s="11"/>
      <c r="I24" s="9" t="n">
        <v>46223</v>
      </c>
      <c r="J24" s="10" t="str">
        <f aca="false">IF($C24="","",LEFT($C24,1)&amp;TEXT(VALUE(MID($C24,2,IFERROR(FIND("-",$C24),LEN($C24)+1)-2)),"000"))</f>
        <v>B056</v>
      </c>
    </row>
    <row r="25" customFormat="false" ht="15.75" hidden="false" customHeight="true" outlineLevel="0" collapsed="false">
      <c r="A25" s="3" t="s">
        <v>92</v>
      </c>
      <c r="B25" s="4" t="s">
        <v>93</v>
      </c>
      <c r="C25" s="5" t="s">
        <v>94</v>
      </c>
      <c r="D25" s="6" t="s">
        <v>13</v>
      </c>
      <c r="E25" s="7" t="s">
        <v>92</v>
      </c>
      <c r="F25" s="6" t="s">
        <v>13</v>
      </c>
      <c r="G25" s="6" t="s">
        <v>13</v>
      </c>
      <c r="H25" s="11"/>
      <c r="I25" s="9" t="n">
        <v>46223</v>
      </c>
      <c r="J25" s="10" t="str">
        <f aca="false">IF($C25="","",LEFT($C25,1)&amp;TEXT(VALUE(MID($C25,2,IFERROR(FIND("-",$C25),LEN($C25)+1)-2)),"000"))</f>
        <v>B058</v>
      </c>
    </row>
    <row r="26" customFormat="false" ht="31.5" hidden="false" customHeight="true" outlineLevel="0" collapsed="false">
      <c r="A26" s="3" t="s">
        <v>95</v>
      </c>
      <c r="B26" s="4" t="s">
        <v>96</v>
      </c>
      <c r="C26" s="5" t="s">
        <v>97</v>
      </c>
      <c r="D26" s="6" t="s">
        <v>13</v>
      </c>
      <c r="E26" s="3" t="s">
        <v>98</v>
      </c>
      <c r="F26" s="6" t="s">
        <v>13</v>
      </c>
      <c r="G26" s="6" t="s">
        <v>15</v>
      </c>
      <c r="H26" s="11" t="s">
        <v>29</v>
      </c>
      <c r="I26" s="9"/>
      <c r="J26" s="10" t="str">
        <f aca="false">IF($C26="","",LEFT($C26,1)&amp;TEXT(VALUE(MID($C26,2,IFERROR(FIND("-",$C26),LEN($C26)+1)-2)),"000"))</f>
        <v>B060</v>
      </c>
    </row>
    <row r="27" customFormat="false" ht="58.5" hidden="false" customHeight="true" outlineLevel="0" collapsed="false">
      <c r="A27" s="3" t="s">
        <v>99</v>
      </c>
      <c r="B27" s="4" t="s">
        <v>100</v>
      </c>
      <c r="C27" s="5" t="s">
        <v>101</v>
      </c>
      <c r="D27" s="6" t="s">
        <v>13</v>
      </c>
      <c r="E27" s="3" t="s">
        <v>20</v>
      </c>
      <c r="F27" s="6" t="s">
        <v>13</v>
      </c>
      <c r="G27" s="6" t="s">
        <v>15</v>
      </c>
      <c r="H27" s="11" t="s">
        <v>21</v>
      </c>
      <c r="I27" s="9"/>
      <c r="J27" s="10" t="str">
        <f aca="false">IF($C27="","",LEFT($C27,1)&amp;TEXT(VALUE(MID($C27,2,IFERROR(FIND("-",$C27),LEN($C27)+1)-2)),"000"))</f>
        <v>B065</v>
      </c>
    </row>
    <row r="28" customFormat="false" ht="15.75" hidden="false" customHeight="true" outlineLevel="0" collapsed="false">
      <c r="A28" s="3" t="s">
        <v>102</v>
      </c>
      <c r="B28" s="4" t="s">
        <v>103</v>
      </c>
      <c r="C28" s="5" t="s">
        <v>104</v>
      </c>
      <c r="D28" s="6" t="s">
        <v>13</v>
      </c>
      <c r="E28" s="3" t="s">
        <v>37</v>
      </c>
      <c r="F28" s="6" t="s">
        <v>13</v>
      </c>
      <c r="G28" s="6" t="s">
        <v>15</v>
      </c>
      <c r="H28" s="11" t="s">
        <v>29</v>
      </c>
      <c r="I28" s="9"/>
      <c r="J28" s="10" t="str">
        <f aca="false">IF($C28="","",LEFT($C28,1)&amp;TEXT(VALUE(MID($C28,2,IFERROR(FIND("-",$C28),LEN($C28)+1)-2)),"000"))</f>
        <v>B073</v>
      </c>
    </row>
    <row r="29" customFormat="false" ht="15.75" hidden="false" customHeight="true" outlineLevel="0" collapsed="false">
      <c r="A29" s="3" t="s">
        <v>105</v>
      </c>
      <c r="B29" s="4" t="s">
        <v>106</v>
      </c>
      <c r="C29" s="5" t="s">
        <v>107</v>
      </c>
      <c r="D29" s="6" t="s">
        <v>13</v>
      </c>
      <c r="E29" s="7" t="s">
        <v>108</v>
      </c>
      <c r="F29" s="6" t="s">
        <v>13</v>
      </c>
      <c r="G29" s="6" t="s">
        <v>13</v>
      </c>
      <c r="H29" s="11"/>
      <c r="I29" s="9" t="n">
        <v>46224</v>
      </c>
      <c r="J29" s="10" t="str">
        <f aca="false">IF($C29="","",LEFT($C29,1)&amp;TEXT(VALUE(MID($C29,2,IFERROR(FIND("-",$C29),LEN($C29)+1)-2)),"000"))</f>
        <v>C001</v>
      </c>
    </row>
    <row r="30" customFormat="false" ht="15.75" hidden="false" customHeight="true" outlineLevel="0" collapsed="false">
      <c r="A30" s="3" t="s">
        <v>108</v>
      </c>
      <c r="B30" s="4" t="s">
        <v>109</v>
      </c>
      <c r="C30" s="5" t="s">
        <v>110</v>
      </c>
      <c r="D30" s="6" t="s">
        <v>13</v>
      </c>
      <c r="E30" s="7" t="s">
        <v>108</v>
      </c>
      <c r="F30" s="6" t="s">
        <v>13</v>
      </c>
      <c r="G30" s="6" t="s">
        <v>13</v>
      </c>
      <c r="H30" s="11"/>
      <c r="I30" s="9" t="n">
        <v>46224</v>
      </c>
      <c r="J30" s="10" t="str">
        <f aca="false">IF($C30="","",LEFT($C30,1)&amp;TEXT(VALUE(MID($C30,2,IFERROR(FIND("-",$C30),LEN($C30)+1)-2)),"000"))</f>
        <v>C009</v>
      </c>
    </row>
    <row r="31" customFormat="false" ht="31.5" hidden="false" customHeight="true" outlineLevel="0" collapsed="false">
      <c r="A31" s="3" t="s">
        <v>111</v>
      </c>
      <c r="B31" s="4" t="s">
        <v>112</v>
      </c>
      <c r="C31" s="5" t="s">
        <v>113</v>
      </c>
      <c r="D31" s="6" t="s">
        <v>13</v>
      </c>
      <c r="E31" s="7" t="s">
        <v>114</v>
      </c>
      <c r="F31" s="6" t="s">
        <v>13</v>
      </c>
      <c r="G31" s="6" t="s">
        <v>13</v>
      </c>
      <c r="H31" s="11"/>
      <c r="I31" s="9" t="n">
        <v>46224</v>
      </c>
      <c r="J31" s="10" t="str">
        <f aca="false">IF($C31="","",LEFT($C31,1)&amp;TEXT(VALUE(MID($C31,2,IFERROR(FIND("-",$C31),LEN($C31)+1)-2)),"000"))</f>
        <v>C016</v>
      </c>
    </row>
    <row r="32" customFormat="false" ht="31.5" hidden="false" customHeight="true" outlineLevel="0" collapsed="false">
      <c r="A32" s="3" t="s">
        <v>115</v>
      </c>
      <c r="B32" s="4" t="s">
        <v>116</v>
      </c>
      <c r="C32" s="5" t="s">
        <v>117</v>
      </c>
      <c r="D32" s="6" t="s">
        <v>13</v>
      </c>
      <c r="E32" s="7" t="s">
        <v>114</v>
      </c>
      <c r="F32" s="6" t="s">
        <v>13</v>
      </c>
      <c r="G32" s="6" t="s">
        <v>13</v>
      </c>
      <c r="H32" s="11"/>
      <c r="I32" s="9" t="n">
        <v>46224</v>
      </c>
      <c r="J32" s="10" t="str">
        <f aca="false">IF($C32="","",LEFT($C32,1)&amp;TEXT(VALUE(MID($C32,2,IFERROR(FIND("-",$C32),LEN($C32)+1)-2)),"000"))</f>
        <v>C052</v>
      </c>
    </row>
    <row r="33" customFormat="false" ht="31.5" hidden="false" customHeight="true" outlineLevel="0" collapsed="false">
      <c r="A33" s="3" t="s">
        <v>118</v>
      </c>
      <c r="B33" s="4" t="s">
        <v>119</v>
      </c>
      <c r="C33" s="5" t="s">
        <v>120</v>
      </c>
      <c r="D33" s="6" t="s">
        <v>13</v>
      </c>
      <c r="E33" s="7" t="s">
        <v>114</v>
      </c>
      <c r="F33" s="6" t="s">
        <v>13</v>
      </c>
      <c r="G33" s="6" t="s">
        <v>13</v>
      </c>
      <c r="H33" s="11"/>
      <c r="I33" s="9" t="n">
        <v>46224</v>
      </c>
      <c r="J33" s="10" t="str">
        <f aca="false">IF($C33="","",LEFT($C33,1)&amp;TEXT(VALUE(MID($C33,2,IFERROR(FIND("-",$C33),LEN($C33)+1)-2)),"000"))</f>
        <v>C067</v>
      </c>
    </row>
    <row r="34" customFormat="false" ht="15.75" hidden="false" customHeight="true" outlineLevel="0" collapsed="false">
      <c r="A34" s="3" t="s">
        <v>121</v>
      </c>
      <c r="B34" s="4" t="s">
        <v>122</v>
      </c>
      <c r="C34" s="5" t="s">
        <v>123</v>
      </c>
      <c r="D34" s="6" t="s">
        <v>13</v>
      </c>
      <c r="E34" s="3" t="s">
        <v>124</v>
      </c>
      <c r="F34" s="6" t="s">
        <v>13</v>
      </c>
      <c r="G34" s="6" t="s">
        <v>15</v>
      </c>
      <c r="H34" s="11" t="s">
        <v>29</v>
      </c>
      <c r="I34" s="9"/>
      <c r="J34" s="10" t="str">
        <f aca="false">IF($C34="","",LEFT($C34,1)&amp;TEXT(VALUE(MID($C34,2,IFERROR(FIND("-",$C34),LEN($C34)+1)-2)),"000"))</f>
        <v>E001</v>
      </c>
    </row>
    <row r="35" customFormat="false" ht="15.75" hidden="false" customHeight="true" outlineLevel="0" collapsed="false">
      <c r="A35" s="3" t="s">
        <v>125</v>
      </c>
      <c r="B35" s="4" t="s">
        <v>126</v>
      </c>
      <c r="C35" s="5" t="s">
        <v>127</v>
      </c>
      <c r="D35" s="6" t="s">
        <v>13</v>
      </c>
      <c r="E35" s="3" t="s">
        <v>20</v>
      </c>
      <c r="F35" s="6" t="s">
        <v>13</v>
      </c>
      <c r="G35" s="6" t="s">
        <v>15</v>
      </c>
      <c r="H35" s="11" t="s">
        <v>21</v>
      </c>
      <c r="I35" s="9"/>
      <c r="J35" s="10" t="str">
        <f aca="false">IF($C35="","",LEFT($C35,1)&amp;TEXT(VALUE(MID($C35,2,IFERROR(FIND("-",$C35),LEN($C35)+1)-2)),"000"))</f>
        <v>E005</v>
      </c>
    </row>
    <row r="36" customFormat="false" ht="15.75" hidden="false" customHeight="true" outlineLevel="0" collapsed="false">
      <c r="A36" s="3" t="s">
        <v>128</v>
      </c>
      <c r="B36" s="4" t="s">
        <v>129</v>
      </c>
      <c r="C36" s="5" t="s">
        <v>130</v>
      </c>
      <c r="D36" s="6" t="s">
        <v>13</v>
      </c>
      <c r="E36" s="3"/>
      <c r="F36" s="6" t="s">
        <v>13</v>
      </c>
      <c r="G36" s="6" t="s">
        <v>13</v>
      </c>
      <c r="H36" s="11" t="s">
        <v>131</v>
      </c>
      <c r="I36" s="9" t="n">
        <v>46224</v>
      </c>
      <c r="J36" s="10" t="str">
        <f aca="false">IF($C36="","",LEFT($C36,1)&amp;TEXT(VALUE(MID($C36,2,IFERROR(FIND("-",$C36),LEN($C36)+1)-2)),"000"))</f>
        <v>E010</v>
      </c>
    </row>
    <row r="37" customFormat="false" ht="15.75" hidden="false" customHeight="true" outlineLevel="0" collapsed="false">
      <c r="A37" s="3" t="s">
        <v>132</v>
      </c>
      <c r="B37" s="4" t="s">
        <v>133</v>
      </c>
      <c r="C37" s="5" t="s">
        <v>134</v>
      </c>
      <c r="D37" s="6" t="s">
        <v>13</v>
      </c>
      <c r="E37" s="3" t="s">
        <v>28</v>
      </c>
      <c r="F37" s="6" t="s">
        <v>13</v>
      </c>
      <c r="G37" s="6" t="s">
        <v>15</v>
      </c>
      <c r="H37" s="11" t="s">
        <v>29</v>
      </c>
      <c r="I37" s="9"/>
      <c r="J37" s="10" t="str">
        <f aca="false">IF($C37="","",LEFT($C37,1)&amp;TEXT(VALUE(MID($C37,2,IFERROR(FIND("-",$C37),LEN($C37)+1)-2)),"000"))</f>
        <v>E012</v>
      </c>
    </row>
    <row r="38" customFormat="false" ht="15.75" hidden="false" customHeight="true" outlineLevel="0" collapsed="false">
      <c r="A38" s="3" t="s">
        <v>135</v>
      </c>
      <c r="B38" s="4" t="s">
        <v>136</v>
      </c>
      <c r="C38" s="5" t="s">
        <v>137</v>
      </c>
      <c r="D38" s="6" t="s">
        <v>13</v>
      </c>
      <c r="E38" s="3" t="s">
        <v>20</v>
      </c>
      <c r="F38" s="6" t="s">
        <v>13</v>
      </c>
      <c r="G38" s="6" t="s">
        <v>15</v>
      </c>
      <c r="H38" s="11" t="s">
        <v>21</v>
      </c>
      <c r="I38" s="9"/>
      <c r="J38" s="10" t="str">
        <f aca="false">IF($C38="","",LEFT($C38,1)&amp;TEXT(VALUE(MID($C38,2,IFERROR(FIND("-",$C38),LEN($C38)+1)-2)),"000"))</f>
        <v>E016</v>
      </c>
    </row>
    <row r="39" customFormat="false" ht="15.75" hidden="false" customHeight="true" outlineLevel="0" collapsed="false">
      <c r="A39" s="3" t="s">
        <v>138</v>
      </c>
      <c r="B39" s="4" t="s">
        <v>139</v>
      </c>
      <c r="C39" s="5" t="s">
        <v>140</v>
      </c>
      <c r="D39" s="6" t="s">
        <v>13</v>
      </c>
      <c r="E39" s="3" t="s">
        <v>20</v>
      </c>
      <c r="F39" s="6" t="s">
        <v>13</v>
      </c>
      <c r="G39" s="6" t="s">
        <v>15</v>
      </c>
      <c r="H39" s="11" t="s">
        <v>21</v>
      </c>
      <c r="I39" s="9"/>
      <c r="J39" s="10" t="str">
        <f aca="false">IF($C39="","",LEFT($C39,1)&amp;TEXT(VALUE(MID($C39,2,IFERROR(FIND("-",$C39),LEN($C39)+1)-2)),"000"))</f>
        <v>E019</v>
      </c>
    </row>
    <row r="40" customFormat="false" ht="15.75" hidden="false" customHeight="true" outlineLevel="0" collapsed="false">
      <c r="A40" s="3" t="s">
        <v>141</v>
      </c>
      <c r="B40" s="4" t="s">
        <v>142</v>
      </c>
      <c r="C40" s="5" t="s">
        <v>143</v>
      </c>
      <c r="D40" s="6" t="s">
        <v>13</v>
      </c>
      <c r="E40" s="3" t="s">
        <v>20</v>
      </c>
      <c r="F40" s="6" t="s">
        <v>13</v>
      </c>
      <c r="G40" s="6" t="s">
        <v>15</v>
      </c>
      <c r="H40" s="11" t="s">
        <v>21</v>
      </c>
      <c r="I40" s="9"/>
      <c r="J40" s="10" t="str">
        <f aca="false">IF($C40="","",LEFT($C40,1)&amp;TEXT(VALUE(MID($C40,2,IFERROR(FIND("-",$C40),LEN($C40)+1)-2)),"000"))</f>
        <v>E022</v>
      </c>
    </row>
    <row r="41" customFormat="false" ht="15.75" hidden="false" customHeight="true" outlineLevel="0" collapsed="false">
      <c r="A41" s="3" t="s">
        <v>144</v>
      </c>
      <c r="B41" s="4" t="s">
        <v>145</v>
      </c>
      <c r="C41" s="5" t="s">
        <v>146</v>
      </c>
      <c r="D41" s="6" t="s">
        <v>13</v>
      </c>
      <c r="E41" s="3"/>
      <c r="F41" s="6" t="s">
        <v>13</v>
      </c>
      <c r="G41" s="6" t="s">
        <v>13</v>
      </c>
      <c r="H41" s="11" t="s">
        <v>131</v>
      </c>
      <c r="I41" s="9" t="n">
        <v>46224</v>
      </c>
      <c r="J41" s="10" t="str">
        <f aca="false">IF($C41="","",LEFT($C41,1)&amp;TEXT(VALUE(MID($C41,2,IFERROR(FIND("-",$C41),LEN($C41)+1)-2)),"000"))</f>
        <v>E027</v>
      </c>
    </row>
    <row r="42" customFormat="false" ht="15.75" hidden="false" customHeight="true" outlineLevel="0" collapsed="false">
      <c r="A42" s="3" t="s">
        <v>147</v>
      </c>
      <c r="B42" s="4" t="s">
        <v>148</v>
      </c>
      <c r="C42" s="5" t="s">
        <v>149</v>
      </c>
      <c r="D42" s="6" t="s">
        <v>13</v>
      </c>
      <c r="E42" s="3" t="s">
        <v>20</v>
      </c>
      <c r="F42" s="6" t="s">
        <v>13</v>
      </c>
      <c r="G42" s="6" t="s">
        <v>15</v>
      </c>
      <c r="H42" s="11" t="s">
        <v>21</v>
      </c>
      <c r="I42" s="9"/>
      <c r="J42" s="10" t="str">
        <f aca="false">IF($C42="","",LEFT($C42,1)&amp;TEXT(VALUE(MID($C42,2,IFERROR(FIND("-",$C42),LEN($C42)+1)-2)),"000"))</f>
        <v>E031</v>
      </c>
    </row>
    <row r="43" customFormat="false" ht="15.75" hidden="false" customHeight="true" outlineLevel="0" collapsed="false">
      <c r="A43" s="3" t="s">
        <v>150</v>
      </c>
      <c r="B43" s="4" t="s">
        <v>151</v>
      </c>
      <c r="C43" s="5" t="s">
        <v>152</v>
      </c>
      <c r="D43" s="6" t="s">
        <v>13</v>
      </c>
      <c r="E43" s="3" t="s">
        <v>153</v>
      </c>
      <c r="F43" s="6" t="s">
        <v>13</v>
      </c>
      <c r="G43" s="6" t="s">
        <v>15</v>
      </c>
      <c r="H43" s="11" t="s">
        <v>29</v>
      </c>
      <c r="I43" s="9"/>
      <c r="J43" s="10" t="str">
        <f aca="false">IF($C43="","",LEFT($C43,1)&amp;TEXT(VALUE(MID($C43,2,IFERROR(FIND("-",$C43),LEN($C43)+1)-2)),"000"))</f>
        <v>E036</v>
      </c>
    </row>
    <row r="44" customFormat="false" ht="15.75" hidden="false" customHeight="true" outlineLevel="0" collapsed="false">
      <c r="A44" s="3" t="s">
        <v>154</v>
      </c>
      <c r="B44" s="4" t="s">
        <v>155</v>
      </c>
      <c r="C44" s="5" t="s">
        <v>156</v>
      </c>
      <c r="D44" s="6" t="s">
        <v>13</v>
      </c>
      <c r="E44" s="3" t="s">
        <v>20</v>
      </c>
      <c r="F44" s="6" t="s">
        <v>13</v>
      </c>
      <c r="G44" s="6" t="s">
        <v>15</v>
      </c>
      <c r="H44" s="11" t="s">
        <v>21</v>
      </c>
      <c r="I44" s="9"/>
      <c r="J44" s="10" t="str">
        <f aca="false">IF($C44="","",LEFT($C44,1)&amp;TEXT(VALUE(MID($C44,2,IFERROR(FIND("-",$C44),LEN($C44)+1)-2)),"000"))</f>
        <v>E042</v>
      </c>
    </row>
    <row r="45" customFormat="false" ht="15.75" hidden="false" customHeight="true" outlineLevel="0" collapsed="false">
      <c r="A45" s="3" t="s">
        <v>157</v>
      </c>
      <c r="B45" s="4" t="s">
        <v>158</v>
      </c>
      <c r="C45" s="5" t="s">
        <v>159</v>
      </c>
      <c r="D45" s="6" t="s">
        <v>13</v>
      </c>
      <c r="E45" s="3" t="s">
        <v>20</v>
      </c>
      <c r="F45" s="6" t="s">
        <v>13</v>
      </c>
      <c r="G45" s="6" t="s">
        <v>15</v>
      </c>
      <c r="H45" s="11" t="s">
        <v>21</v>
      </c>
      <c r="I45" s="9"/>
      <c r="J45" s="10" t="str">
        <f aca="false">IF($C45="","",LEFT($C45,1)&amp;TEXT(VALUE(MID($C45,2,IFERROR(FIND("-",$C45),LEN($C45)+1)-2)),"000"))</f>
        <v>E046</v>
      </c>
    </row>
    <row r="46" customFormat="false" ht="15.75" hidden="false" customHeight="true" outlineLevel="0" collapsed="false">
      <c r="A46" s="3" t="s">
        <v>160</v>
      </c>
      <c r="B46" s="4" t="s">
        <v>161</v>
      </c>
      <c r="C46" s="5" t="s">
        <v>162</v>
      </c>
      <c r="D46" s="6" t="s">
        <v>13</v>
      </c>
      <c r="E46" s="3" t="s">
        <v>47</v>
      </c>
      <c r="F46" s="6" t="s">
        <v>13</v>
      </c>
      <c r="G46" s="6" t="s">
        <v>13</v>
      </c>
      <c r="H46" s="11"/>
      <c r="I46" s="9" t="n">
        <v>46223</v>
      </c>
      <c r="J46" s="10" t="str">
        <f aca="false">IF($C46="","",LEFT($C46,1)&amp;TEXT(VALUE(MID($C46,2,IFERROR(FIND("-",$C46),LEN($C46)+1)-2)),"000"))</f>
        <v>E052</v>
      </c>
    </row>
    <row r="47" customFormat="false" ht="15.75" hidden="false" customHeight="true" outlineLevel="0" collapsed="false">
      <c r="A47" s="3" t="s">
        <v>163</v>
      </c>
      <c r="B47" s="4" t="s">
        <v>164</v>
      </c>
      <c r="C47" s="5" t="s">
        <v>165</v>
      </c>
      <c r="D47" s="6" t="s">
        <v>13</v>
      </c>
      <c r="E47" s="3" t="s">
        <v>47</v>
      </c>
      <c r="F47" s="6" t="s">
        <v>13</v>
      </c>
      <c r="G47" s="6" t="s">
        <v>13</v>
      </c>
      <c r="H47" s="11"/>
      <c r="I47" s="9" t="n">
        <v>46223</v>
      </c>
      <c r="J47" s="10" t="str">
        <f aca="false">IF($C47="","",LEFT($C47,1)&amp;TEXT(VALUE(MID($C47,2,IFERROR(FIND("-",$C47),LEN($C47)+1)-2)),"000"))</f>
        <v>E059</v>
      </c>
    </row>
    <row r="48" customFormat="false" ht="58.5" hidden="false" customHeight="true" outlineLevel="0" collapsed="false">
      <c r="A48" s="3" t="s">
        <v>166</v>
      </c>
      <c r="B48" s="4" t="s">
        <v>167</v>
      </c>
      <c r="C48" s="5" t="s">
        <v>168</v>
      </c>
      <c r="D48" s="6" t="s">
        <v>13</v>
      </c>
      <c r="E48" s="7" t="s">
        <v>114</v>
      </c>
      <c r="F48" s="6" t="s">
        <v>13</v>
      </c>
      <c r="G48" s="6" t="s">
        <v>13</v>
      </c>
      <c r="H48" s="11"/>
      <c r="I48" s="9" t="n">
        <v>46224</v>
      </c>
      <c r="J48" s="10" t="str">
        <f aca="false">IF($C48="","",LEFT($C48,1)&amp;TEXT(VALUE(MID($C48,2,IFERROR(FIND("-",$C48),LEN($C48)+1)-2)),"000"))</f>
        <v>G001</v>
      </c>
    </row>
  </sheetData>
  <conditionalFormatting sqref="I23">
    <cfRule type="expression" priority="2" aboveAverage="0" equalAverage="0" bottom="0" percent="0" rank="0" text="" dxfId="10">
      <formula>AND($F23="☑",$G23="☑")</formula>
    </cfRule>
  </conditionalFormatting>
  <conditionalFormatting sqref="A2:J17 A18:D20 A21:J21 A22:H23 A24:J1000 F18:J20 J22:J23">
    <cfRule type="expression" priority="3" aboveAverage="0" equalAverage="0" bottom="0" percent="0" rank="0" text="" dxfId="10">
      <formula>AND($F2="☑",$G2="☑")</formula>
    </cfRule>
  </conditionalFormatting>
  <conditionalFormatting sqref="C2:C1000">
    <cfRule type="expression" priority="4" aboveAverage="0" equalAverage="0" bottom="0" percent="0" rank="0" text="" dxfId="11">
      <formula>LEFT($C2,1)="A"</formula>
    </cfRule>
    <cfRule type="expression" priority="5" aboveAverage="0" equalAverage="0" bottom="0" percent="0" rank="0" text="" dxfId="12">
      <formula>LEFT($C2,1)="B"</formula>
    </cfRule>
    <cfRule type="expression" priority="6" aboveAverage="0" equalAverage="0" bottom="0" percent="0" rank="0" text="" dxfId="13">
      <formula>LEFT($C2,1)="C"</formula>
    </cfRule>
    <cfRule type="expression" priority="7" aboveAverage="0" equalAverage="0" bottom="0" percent="0" rank="0" text="" dxfId="14">
      <formula>LEFT($C2,1)="E"</formula>
    </cfRule>
    <cfRule type="expression" priority="8" aboveAverage="0" equalAverage="0" bottom="0" percent="0" rank="0" text="" dxfId="15">
      <formula>LEFT($C2,1)="G"</formula>
    </cfRule>
  </conditionalFormatting>
  <conditionalFormatting sqref="E18:E20">
    <cfRule type="expression" priority="9" aboveAverage="0" equalAverage="0" bottom="0" percent="0" rank="0" text="" dxfId="10">
      <formula>AND($F17="☑",$G17="☑")</formula>
    </cfRule>
  </conditionalFormatting>
  <dataValidations count="1">
    <dataValidation allowBlank="true" error="Choose the checked or unchecked box from the dropdown." errorStyle="stop" errorTitle="Invalid entry" operator="between" showDropDown="false" showErrorMessage="true" showInputMessage="false" sqref="D2:D1000 F2:G1000" type="list">
      <formula1>"☐,☑"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8"/>
    <col collapsed="false" customWidth="true" hidden="false" outlineLevel="0" max="4" min="4" style="0" width="16"/>
    <col collapsed="false" customWidth="true" hidden="false" outlineLevel="0" max="5" min="5" style="0" width="40"/>
    <col collapsed="false" customWidth="true" hidden="false" outlineLevel="0" max="6" min="6" style="0" width="13"/>
  </cols>
  <sheetData>
    <row r="1" customFormat="false" ht="42" hidden="false" customHeight="true" outlineLevel="0" collapsed="false">
      <c r="A1" s="2" t="s">
        <v>169</v>
      </c>
      <c r="B1" s="2" t="s">
        <v>170</v>
      </c>
      <c r="C1" s="2" t="s">
        <v>171</v>
      </c>
      <c r="D1" s="2" t="s">
        <v>6</v>
      </c>
      <c r="E1" s="2" t="s">
        <v>7</v>
      </c>
      <c r="F1" s="2" t="s">
        <v>8</v>
      </c>
    </row>
    <row r="2" customFormat="false" ht="45" hidden="false" customHeight="true" outlineLevel="0" collapsed="false">
      <c r="A2" s="5" t="s">
        <v>14</v>
      </c>
      <c r="B2" s="4" t="s">
        <v>11</v>
      </c>
      <c r="C2" s="4"/>
      <c r="D2" s="6" t="s">
        <v>15</v>
      </c>
      <c r="E2" s="11"/>
      <c r="F2" s="9"/>
    </row>
    <row r="3" customFormat="false" ht="139.5" hidden="false" customHeight="true" outlineLevel="0" collapsed="false">
      <c r="A3" s="5" t="s">
        <v>28</v>
      </c>
      <c r="B3" s="4" t="s">
        <v>172</v>
      </c>
      <c r="C3" s="4"/>
      <c r="D3" s="6" t="s">
        <v>15</v>
      </c>
      <c r="E3" s="11"/>
      <c r="F3" s="9"/>
    </row>
    <row r="4" customFormat="false" ht="15.75" hidden="false" customHeight="true" outlineLevel="0" collapsed="false">
      <c r="A4" s="5" t="s">
        <v>33</v>
      </c>
      <c r="B4" s="4" t="s">
        <v>31</v>
      </c>
      <c r="C4" s="4"/>
      <c r="D4" s="6" t="s">
        <v>15</v>
      </c>
      <c r="E4" s="11"/>
      <c r="F4" s="9"/>
    </row>
    <row r="5" customFormat="false" ht="45" hidden="false" customHeight="true" outlineLevel="0" collapsed="false">
      <c r="A5" s="5" t="s">
        <v>37</v>
      </c>
      <c r="B5" s="4" t="s">
        <v>173</v>
      </c>
      <c r="C5" s="4"/>
      <c r="D5" s="6" t="s">
        <v>15</v>
      </c>
      <c r="E5" s="11"/>
      <c r="F5" s="9"/>
    </row>
    <row r="6" customFormat="false" ht="166.5" hidden="false" customHeight="true" outlineLevel="0" collapsed="false">
      <c r="A6" s="5" t="s">
        <v>57</v>
      </c>
      <c r="B6" s="4" t="s">
        <v>174</v>
      </c>
      <c r="C6" s="4"/>
      <c r="D6" s="6" t="s">
        <v>15</v>
      </c>
      <c r="E6" s="11"/>
      <c r="F6" s="9"/>
    </row>
    <row r="7" customFormat="false" ht="15.75" hidden="false" customHeight="true" outlineLevel="0" collapsed="false">
      <c r="A7" s="5" t="s">
        <v>70</v>
      </c>
      <c r="B7" s="4" t="s">
        <v>68</v>
      </c>
      <c r="C7" s="4"/>
      <c r="D7" s="6" t="s">
        <v>15</v>
      </c>
      <c r="E7" s="11"/>
      <c r="F7" s="9"/>
    </row>
    <row r="8" customFormat="false" ht="15.75" hidden="false" customHeight="true" outlineLevel="0" collapsed="false">
      <c r="A8" s="5" t="s">
        <v>85</v>
      </c>
      <c r="B8" s="4" t="s">
        <v>83</v>
      </c>
      <c r="C8" s="4"/>
      <c r="D8" s="6" t="s">
        <v>15</v>
      </c>
      <c r="E8" s="11"/>
      <c r="F8" s="9"/>
    </row>
    <row r="9" customFormat="false" ht="31.5" hidden="false" customHeight="true" outlineLevel="0" collapsed="false">
      <c r="A9" s="5" t="s">
        <v>98</v>
      </c>
      <c r="B9" s="4" t="s">
        <v>96</v>
      </c>
      <c r="C9" s="4"/>
      <c r="D9" s="6" t="s">
        <v>15</v>
      </c>
      <c r="E9" s="11"/>
      <c r="F9" s="9"/>
    </row>
    <row r="10" customFormat="false" ht="15.75" hidden="false" customHeight="true" outlineLevel="0" collapsed="false">
      <c r="A10" s="5" t="s">
        <v>124</v>
      </c>
      <c r="B10" s="4" t="s">
        <v>122</v>
      </c>
      <c r="C10" s="4"/>
      <c r="D10" s="6" t="s">
        <v>15</v>
      </c>
      <c r="E10" s="11"/>
      <c r="F10" s="9"/>
    </row>
    <row r="11" customFormat="false" ht="15.75" hidden="false" customHeight="true" outlineLevel="0" collapsed="false">
      <c r="A11" s="5" t="s">
        <v>153</v>
      </c>
      <c r="B11" s="4" t="s">
        <v>151</v>
      </c>
      <c r="C11" s="4"/>
      <c r="D11" s="6" t="s">
        <v>15</v>
      </c>
      <c r="E11" s="11"/>
      <c r="F11" s="9"/>
    </row>
  </sheetData>
  <conditionalFormatting sqref="A2:F50">
    <cfRule type="expression" priority="2" aboveAverage="0" equalAverage="0" bottom="0" percent="0" rank="0" text="" dxfId="16">
      <formula>$D2="☑"</formula>
    </cfRule>
  </conditionalFormatting>
  <dataValidations count="1">
    <dataValidation allowBlank="true" error="Choose the checked or unchecked box from the dropdown." errorStyle="stop" errorTitle="Invalid entry" operator="between" showDropDown="false" showErrorMessage="true" showInputMessage="false" sqref="D2:D50" type="list">
      <formula1>"☐,☑"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7" activeCellId="0" sqref="F7"/>
    </sheetView>
  </sheetViews>
  <sheetFormatPr defaultColWidth="8.66796875" defaultRowHeight="14.2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1"/>
    <col collapsed="false" customWidth="true" hidden="false" outlineLevel="0" max="3" min="3" style="1" width="16"/>
    <col collapsed="false" customWidth="true" hidden="false" outlineLevel="0" max="4" min="4" style="1" width="11"/>
    <col collapsed="false" customWidth="true" hidden="false" outlineLevel="0" max="5" min="5" style="1" width="16"/>
    <col collapsed="false" customWidth="true" hidden="false" outlineLevel="0" max="6" min="6" style="1" width="11"/>
    <col collapsed="false" customWidth="true" hidden="false" outlineLevel="0" max="7" min="7" style="1" width="14"/>
    <col collapsed="false" customWidth="true" hidden="false" outlineLevel="0" max="8" min="8" style="1" width="24"/>
    <col collapsed="false" customWidth="true" hidden="false" outlineLevel="0" max="9" min="9" style="1" width="13"/>
    <col collapsed="false" customWidth="true" hidden="false" outlineLevel="0" max="10" min="10" style="1" width="9"/>
  </cols>
  <sheetData>
    <row r="1" customFormat="false" ht="17.25" hidden="false" customHeight="true" outlineLevel="0" collapsed="false">
      <c r="A1" s="12" t="s">
        <v>175</v>
      </c>
      <c r="B1" s="12"/>
      <c r="C1" s="12"/>
      <c r="D1" s="12"/>
      <c r="E1" s="12"/>
      <c r="F1" s="12"/>
    </row>
    <row r="2" customFormat="false" ht="14.25" hidden="false" customHeight="true" outlineLevel="0" collapsed="false">
      <c r="A2" s="13" t="s">
        <v>176</v>
      </c>
      <c r="B2" s="13"/>
      <c r="C2" s="13"/>
      <c r="D2" s="13"/>
      <c r="E2" s="13"/>
      <c r="F2" s="13"/>
      <c r="G2" s="13"/>
      <c r="H2" s="13"/>
    </row>
    <row r="4" customFormat="false" ht="27.75" hidden="false" customHeight="true" outlineLevel="0" collapsed="false">
      <c r="A4" s="2" t="s">
        <v>177</v>
      </c>
      <c r="B4" s="2" t="s">
        <v>178</v>
      </c>
      <c r="C4" s="2" t="s">
        <v>179</v>
      </c>
      <c r="D4" s="2" t="s">
        <v>180</v>
      </c>
      <c r="E4" s="2" t="s">
        <v>181</v>
      </c>
      <c r="F4" s="2" t="s">
        <v>182</v>
      </c>
    </row>
    <row r="5" customFormat="false" ht="14.25" hidden="false" customHeight="true" outlineLevel="0" collapsed="false">
      <c r="A5" s="5" t="s">
        <v>183</v>
      </c>
      <c r="B5" s="5" t="n">
        <f aca="false">SUMPRODUCT(--(LEFT(Tracker!$C$2:$C$1000,1)="A"))</f>
        <v>5</v>
      </c>
      <c r="C5" s="5" t="n">
        <f aca="false">SUMPRODUCT(--(LEFT(Tracker!$C$2:$C$1000,1)="A"),--(Tracker!$F$2:$F$1000="☑"))</f>
        <v>5</v>
      </c>
      <c r="D5" s="14" t="n">
        <f aca="false">IF(B5=0,0,C5/B5)</f>
        <v>1</v>
      </c>
      <c r="E5" s="5" t="n">
        <f aca="false">SUMPRODUCT(--(LEFT(Tracker!$C$2:$C$1000,1)="A"),--(Tracker!$G$2:$G$1000="☑"))</f>
        <v>0</v>
      </c>
      <c r="F5" s="14" t="n">
        <f aca="false">IF(B5=0,0,E5/B5)</f>
        <v>0</v>
      </c>
    </row>
    <row r="6" customFormat="false" ht="14.25" hidden="false" customHeight="true" outlineLevel="0" collapsed="false">
      <c r="A6" s="5" t="s">
        <v>184</v>
      </c>
      <c r="B6" s="5" t="n">
        <f aca="false">SUMPRODUCT(--(LEFT(Tracker!$C$2:$C$1000,1)="B"))</f>
        <v>21</v>
      </c>
      <c r="C6" s="5" t="n">
        <f aca="false">SUMPRODUCT(--(LEFT(Tracker!$C$2:$C$1000,1)="B"),--(Tracker!$F$2:$F$1000="☑"))</f>
        <v>21</v>
      </c>
      <c r="D6" s="14" t="n">
        <f aca="false">IF(B6=0,0,C6/B6)</f>
        <v>1</v>
      </c>
      <c r="E6" s="5" t="n">
        <f aca="false">SUMPRODUCT(--(LEFT(Tracker!$C$2:$C$1000,1)="B"),--(Tracker!$G$2:$G$1000="☑"))</f>
        <v>4</v>
      </c>
      <c r="F6" s="14" t="n">
        <f aca="false">IF(B6=0,0,E6/B6)</f>
        <v>0.19047619047619</v>
      </c>
    </row>
    <row r="7" customFormat="false" ht="14.25" hidden="false" customHeight="true" outlineLevel="0" collapsed="false">
      <c r="A7" s="5" t="s">
        <v>185</v>
      </c>
      <c r="B7" s="5" t="n">
        <f aca="false">SUMPRODUCT(--(LEFT(Tracker!$C$2:$C$1000,1)="C"))</f>
        <v>6</v>
      </c>
      <c r="C7" s="5" t="n">
        <f aca="false">SUMPRODUCT(--(LEFT(Tracker!$C$2:$C$1000,1)="C"),--(Tracker!$F$2:$F$1000="☑"))</f>
        <v>6</v>
      </c>
      <c r="D7" s="14" t="n">
        <f aca="false">IF(B7=0,0,C7/B7)</f>
        <v>1</v>
      </c>
      <c r="E7" s="5" t="n">
        <f aca="false">SUMPRODUCT(--(LEFT(Tracker!$C$2:$C$1000,1)="C"),--(Tracker!$G$2:$G$1000="☑"))</f>
        <v>5</v>
      </c>
      <c r="F7" s="14" t="n">
        <f aca="false">IF(B7=0,0,E7/B7)</f>
        <v>0.833333333333333</v>
      </c>
    </row>
    <row r="8" customFormat="false" ht="14.25" hidden="false" customHeight="true" outlineLevel="0" collapsed="false">
      <c r="A8" s="5" t="s">
        <v>186</v>
      </c>
      <c r="B8" s="5" t="n">
        <f aca="false">SUMPRODUCT(--(LEFT(Tracker!$C$2:$C$1000,1)="E"))</f>
        <v>14</v>
      </c>
      <c r="C8" s="5" t="n">
        <f aca="false">SUMPRODUCT(--(LEFT(Tracker!$C$2:$C$1000,1)="E"),--(Tracker!$F$2:$F$1000="☑"))</f>
        <v>14</v>
      </c>
      <c r="D8" s="14" t="n">
        <f aca="false">IF(B8=0,0,C8/B8)</f>
        <v>1</v>
      </c>
      <c r="E8" s="5" t="n">
        <f aca="false">SUMPRODUCT(--(LEFT(Tracker!$C$2:$C$1000,1)="E"),--(Tracker!$G$2:$G$1000="☑"))</f>
        <v>4</v>
      </c>
      <c r="F8" s="14" t="n">
        <f aca="false">IF(B8=0,0,E8/B8)</f>
        <v>0.285714285714286</v>
      </c>
    </row>
    <row r="9" customFormat="false" ht="14.25" hidden="false" customHeight="true" outlineLevel="0" collapsed="false">
      <c r="A9" s="5" t="s">
        <v>187</v>
      </c>
      <c r="B9" s="5" t="n">
        <f aca="false">SUMPRODUCT(--(LEFT(Tracker!$C$2:$C$1000,1)="G"))</f>
        <v>1</v>
      </c>
      <c r="C9" s="5" t="n">
        <f aca="false">SUMPRODUCT(--(LEFT(Tracker!$C$2:$C$1000,1)="G"),--(Tracker!$F$2:$F$1000="☑"))</f>
        <v>1</v>
      </c>
      <c r="D9" s="14" t="n">
        <f aca="false">IF(B9=0,0,C9/B9)</f>
        <v>1</v>
      </c>
      <c r="E9" s="5" t="n">
        <f aca="false">SUMPRODUCT(--(LEFT(Tracker!$C$2:$C$1000,1)="G"),--(Tracker!$G$2:$G$1000="☑"))</f>
        <v>1</v>
      </c>
      <c r="F9" s="14" t="n">
        <f aca="false">IF(B9=0,0,E9/B9)</f>
        <v>1</v>
      </c>
    </row>
    <row r="10" customFormat="false" ht="14.25" hidden="false" customHeight="true" outlineLevel="0" collapsed="false">
      <c r="A10" s="15" t="s">
        <v>188</v>
      </c>
      <c r="B10" s="15" t="n">
        <f aca="false">SUM(B5:B9)</f>
        <v>47</v>
      </c>
      <c r="C10" s="15" t="n">
        <f aca="false">SUM(C5:C9)</f>
        <v>47</v>
      </c>
      <c r="D10" s="16" t="n">
        <f aca="false">IF(B10=0,0,C10/B10)</f>
        <v>1</v>
      </c>
      <c r="E10" s="15" t="n">
        <f aca="false">SUM(E5:E9)</f>
        <v>14</v>
      </c>
      <c r="F10" s="16" t="n">
        <f aca="false">IF(B10=0,0,E10/B10)</f>
        <v>0.297872340425532</v>
      </c>
    </row>
    <row r="13" customFormat="false" ht="14.25" hidden="false" customHeight="true" outlineLevel="0" collapsed="false">
      <c r="A13" s="17" t="s">
        <v>189</v>
      </c>
    </row>
    <row r="14" customFormat="false" ht="14.25" hidden="false" customHeight="true" outlineLevel="0" collapsed="false">
      <c r="A14" s="18" t="s">
        <v>190</v>
      </c>
    </row>
    <row r="15" customFormat="false" ht="14.25" hidden="false" customHeight="true" outlineLevel="0" collapsed="false">
      <c r="A15" s="18" t="s">
        <v>191</v>
      </c>
    </row>
    <row r="16" customFormat="false" ht="14.25" hidden="false" customHeight="true" outlineLevel="0" collapsed="false">
      <c r="A16" s="18" t="s">
        <v>192</v>
      </c>
    </row>
    <row r="17" customFormat="false" ht="14.25" hidden="false" customHeight="true" outlineLevel="0" collapsed="false">
      <c r="A17" s="18" t="s">
        <v>193</v>
      </c>
    </row>
    <row r="18" customFormat="false" ht="14.25" hidden="false" customHeight="true" outlineLevel="0" collapsed="false">
      <c r="A18" s="18" t="s">
        <v>194</v>
      </c>
    </row>
    <row r="19" customFormat="false" ht="14.25" hidden="false" customHeight="true" outlineLevel="0" collapsed="false">
      <c r="A19" s="18" t="s">
        <v>195</v>
      </c>
    </row>
    <row r="20" customFormat="false" ht="14.25" hidden="false" customHeight="true" outlineLevel="0" collapsed="false">
      <c r="A20" s="18" t="s">
        <v>196</v>
      </c>
    </row>
    <row r="21" customFormat="false" ht="14.25" hidden="false" customHeight="true" outlineLevel="0" collapsed="false">
      <c r="A21" s="18" t="s">
        <v>197</v>
      </c>
    </row>
    <row r="23" customFormat="false" ht="14.25" hidden="false" customHeight="true" outlineLevel="0" collapsed="false">
      <c r="A23" s="19" t="s">
        <v>198</v>
      </c>
    </row>
    <row r="24" customFormat="false" ht="30" hidden="false" customHeight="true" outlineLevel="0" collapsed="false">
      <c r="A24" s="20" t="s">
        <v>0</v>
      </c>
      <c r="B24" s="20" t="s">
        <v>1</v>
      </c>
      <c r="C24" s="20" t="s">
        <v>2</v>
      </c>
      <c r="D24" s="20" t="s">
        <v>3</v>
      </c>
      <c r="E24" s="20" t="s">
        <v>4</v>
      </c>
      <c r="F24" s="20" t="s">
        <v>5</v>
      </c>
      <c r="G24" s="20" t="s">
        <v>6</v>
      </c>
      <c r="H24" s="20" t="s">
        <v>7</v>
      </c>
      <c r="I24" s="20" t="s">
        <v>8</v>
      </c>
      <c r="J24" s="20" t="s">
        <v>9</v>
      </c>
    </row>
    <row r="25" customFormat="false" ht="30" hidden="false" customHeight="true" outlineLevel="0" collapsed="false">
      <c r="A25" s="21" t="s">
        <v>199</v>
      </c>
      <c r="B25" s="21" t="s">
        <v>200</v>
      </c>
      <c r="C25" s="21" t="s">
        <v>201</v>
      </c>
      <c r="D25" s="21" t="s">
        <v>13</v>
      </c>
      <c r="E25" s="21" t="s">
        <v>202</v>
      </c>
      <c r="F25" s="21" t="s">
        <v>13</v>
      </c>
      <c r="G25" s="21" t="s">
        <v>13</v>
      </c>
      <c r="H25" s="21" t="s">
        <v>203</v>
      </c>
      <c r="I25" s="21" t="s">
        <v>204</v>
      </c>
      <c r="J25" s="21" t="s">
        <v>205</v>
      </c>
    </row>
  </sheetData>
  <mergeCells count="2">
    <mergeCell ref="A1:F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2026-07-20T22:12:26Z</dcterms:created>
  <dc:creator>openpyxl</dc:creator>
  <dc:description/>
  <dc:language>en-US</dc:language>
  <cp:lastModifiedBy>Poppe, Anatol</cp:lastModifiedBy>
  <dcterms:modified xsi:type="dcterms:W3CDTF">2026-07-21T21:28:32Z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