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oneywellgov-my.sharepoint.us/personal/anatol_poppe_honeywellaerospace_us/Documents/Summer Internship Project 1 - Reverse Engineering Driver Boards/"/>
    </mc:Choice>
  </mc:AlternateContent>
  <xr:revisionPtr revIDLastSave="130" documentId="8_{05BE39EC-7A48-4F3F-80C7-53B6327710BD}" xr6:coauthVersionLast="47" xr6:coauthVersionMax="47" xr10:uidLastSave="{CD533745-DF61-4BB9-95E8-FB3990348A1F}"/>
  <bookViews>
    <workbookView xWindow="-108" yWindow="-108" windowWidth="23256" windowHeight="13896" tabRatio="500" xr2:uid="{00000000-000D-0000-FFFF-FFFF00000000}"/>
  </bookViews>
  <sheets>
    <sheet name="Tracker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2" l="1"/>
  <c r="C9" i="2"/>
  <c r="B9" i="2"/>
  <c r="E8" i="2"/>
  <c r="C8" i="2"/>
  <c r="B8" i="2"/>
  <c r="E7" i="2"/>
  <c r="C7" i="2"/>
  <c r="B7" i="2"/>
  <c r="E6" i="2"/>
  <c r="C6" i="2"/>
  <c r="B6" i="2"/>
  <c r="E5" i="2"/>
  <c r="C5" i="2"/>
  <c r="B5" i="2"/>
  <c r="B10" i="2" s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E10" i="2" l="1"/>
  <c r="F10" i="2" s="1"/>
  <c r="F8" i="2"/>
  <c r="F9" i="2"/>
  <c r="F7" i="2"/>
  <c r="F6" i="2"/>
  <c r="C10" i="2"/>
  <c r="D10" i="2" s="1"/>
  <c r="F5" i="2"/>
  <c r="D6" i="2"/>
  <c r="D7" i="2"/>
  <c r="D8" i="2"/>
  <c r="D5" i="2"/>
  <c r="D9" i="2"/>
</calcChain>
</file>

<file path=xl/sharedStrings.xml><?xml version="1.0" encoding="utf-8"?>
<sst xmlns="http://schemas.openxmlformats.org/spreadsheetml/2006/main" count="360" uniqueCount="188">
  <si>
    <t>Tooling Number</t>
  </si>
  <si>
    <t>Part Number</t>
  </si>
  <si>
    <t>Location</t>
  </si>
  <si>
    <t>Driver Found?</t>
  </si>
  <si>
    <t>Driver Number</t>
  </si>
  <si>
    <t>Tooling Documentation in Agile?</t>
  </si>
  <si>
    <t>Driver Documentation in Agile?</t>
  </si>
  <si>
    <t>Notes</t>
  </si>
  <si>
    <t>Date Complete</t>
  </si>
  <si>
    <t>Sort Key</t>
  </si>
  <si>
    <t>208862</t>
  </si>
  <si>
    <t>304134
304371
10001073</t>
  </si>
  <si>
    <t>A1-A18</t>
  </si>
  <si>
    <t>☐</t>
  </si>
  <si>
    <t>207476</t>
  </si>
  <si>
    <t>304009</t>
  </si>
  <si>
    <t>A19-A26</t>
  </si>
  <si>
    <t>207771</t>
  </si>
  <si>
    <t>304232
304016
304116
304315</t>
  </si>
  <si>
    <t>A27-A30</t>
  </si>
  <si>
    <t>216120</t>
  </si>
  <si>
    <t>304761
405378</t>
  </si>
  <si>
    <t>A31-A45</t>
  </si>
  <si>
    <t>10003054</t>
  </si>
  <si>
    <t>10002940</t>
  </si>
  <si>
    <t>A46-A58</t>
  </si>
  <si>
    <t>210053</t>
  </si>
  <si>
    <t>304261
304262</t>
  </si>
  <si>
    <t>A60-A75</t>
  </si>
  <si>
    <t>210792</t>
  </si>
  <si>
    <t>403262
404380</t>
  </si>
  <si>
    <t>B1-B4</t>
  </si>
  <si>
    <t>210766</t>
  </si>
  <si>
    <t>403263
404381
404900</t>
  </si>
  <si>
    <t>B5-B8</t>
  </si>
  <si>
    <t>213868</t>
  </si>
  <si>
    <t>404379
404397
404399</t>
  </si>
  <si>
    <t>B9-B12</t>
  </si>
  <si>
    <t>210787</t>
  </si>
  <si>
    <t>304265
403260</t>
  </si>
  <si>
    <t>B13-B15</t>
  </si>
  <si>
    <t>208488</t>
  </si>
  <si>
    <t>304121</t>
  </si>
  <si>
    <t>B16-B19</t>
  </si>
  <si>
    <t>208791</t>
  </si>
  <si>
    <t>304122</t>
  </si>
  <si>
    <t>B20-B21</t>
  </si>
  <si>
    <t>208793</t>
  </si>
  <si>
    <t>304124</t>
  </si>
  <si>
    <t>B22-B23</t>
  </si>
  <si>
    <t>208794</t>
  </si>
  <si>
    <t>304125</t>
  </si>
  <si>
    <t>B24-B25</t>
  </si>
  <si>
    <t>208795</t>
  </si>
  <si>
    <t>304126</t>
  </si>
  <si>
    <t>B26-B27</t>
  </si>
  <si>
    <t>209442</t>
  </si>
  <si>
    <t>402980</t>
  </si>
  <si>
    <t>B28-B31</t>
  </si>
  <si>
    <t>209126</t>
  </si>
  <si>
    <t>304139
304233
304386</t>
  </si>
  <si>
    <t>B32-B35</t>
  </si>
  <si>
    <t>304217
304568
304674</t>
  </si>
  <si>
    <t>B36-B42</t>
  </si>
  <si>
    <t>304123
402981</t>
  </si>
  <si>
    <t>B43-B45</t>
  </si>
  <si>
    <t>208623</t>
  </si>
  <si>
    <t>304138</t>
  </si>
  <si>
    <t>B46-B50</t>
  </si>
  <si>
    <t>211264</t>
  </si>
  <si>
    <t>304314</t>
  </si>
  <si>
    <t>B51-B52</t>
  </si>
  <si>
    <t>211217</t>
  </si>
  <si>
    <t>403479</t>
  </si>
  <si>
    <t>B54-B55</t>
  </si>
  <si>
    <t>211377</t>
  </si>
  <si>
    <t>403480</t>
  </si>
  <si>
    <t>B56-B57</t>
  </si>
  <si>
    <t>211496</t>
  </si>
  <si>
    <t>403481</t>
  </si>
  <si>
    <t>B58-B59</t>
  </si>
  <si>
    <t>213849</t>
  </si>
  <si>
    <t>404309
404310</t>
  </si>
  <si>
    <t>B60-B64</t>
  </si>
  <si>
    <t>201923</t>
  </si>
  <si>
    <t>401063
402268
402362
404162</t>
  </si>
  <si>
    <t>B65-B71</t>
  </si>
  <si>
    <t>210062</t>
  </si>
  <si>
    <t>304290</t>
  </si>
  <si>
    <t>B73-B74</t>
  </si>
  <si>
    <t>215663</t>
  </si>
  <si>
    <t>304734</t>
  </si>
  <si>
    <t>C1-C8</t>
  </si>
  <si>
    <t>215577</t>
  </si>
  <si>
    <t>304735</t>
  </si>
  <si>
    <t>C9-C15</t>
  </si>
  <si>
    <t>212782</t>
  </si>
  <si>
    <t>404019
10005248</t>
  </si>
  <si>
    <t>C16-C38</t>
  </si>
  <si>
    <t>213251</t>
  </si>
  <si>
    <t>404026
10005416</t>
  </si>
  <si>
    <t>C52-C56</t>
  </si>
  <si>
    <t>213250</t>
  </si>
  <si>
    <t>404021
10005419</t>
  </si>
  <si>
    <t>C67-C75</t>
  </si>
  <si>
    <t>207770</t>
  </si>
  <si>
    <t>304022</t>
  </si>
  <si>
    <t>E1-E4</t>
  </si>
  <si>
    <t>204951</t>
  </si>
  <si>
    <t>302884</t>
  </si>
  <si>
    <t>E5-E9</t>
  </si>
  <si>
    <t>206808</t>
  </si>
  <si>
    <t>302887</t>
  </si>
  <si>
    <t>E10-E10</t>
  </si>
  <si>
    <t>209175</t>
  </si>
  <si>
    <t>304156</t>
  </si>
  <si>
    <t>E12-E15</t>
  </si>
  <si>
    <t>10009530</t>
  </si>
  <si>
    <t>10008496</t>
  </si>
  <si>
    <t>E16-E18</t>
  </si>
  <si>
    <t>10009529</t>
  </si>
  <si>
    <t>10004897</t>
  </si>
  <si>
    <t>E19-E21</t>
  </si>
  <si>
    <t>208519</t>
  </si>
  <si>
    <t>304137</t>
  </si>
  <si>
    <t>E22-E26</t>
  </si>
  <si>
    <t>10006531</t>
  </si>
  <si>
    <t>10006360</t>
  </si>
  <si>
    <t>E27-E28</t>
  </si>
  <si>
    <t>209117</t>
  </si>
  <si>
    <t>304150</t>
  </si>
  <si>
    <t>E31-E35</t>
  </si>
  <si>
    <t>206338</t>
  </si>
  <si>
    <t>302934</t>
  </si>
  <si>
    <t>E36-E41</t>
  </si>
  <si>
    <t>208778</t>
  </si>
  <si>
    <t>303950</t>
  </si>
  <si>
    <t>E42-E45</t>
  </si>
  <si>
    <t>213908</t>
  </si>
  <si>
    <t>304617</t>
  </si>
  <si>
    <t>E46-E51</t>
  </si>
  <si>
    <t>213098</t>
  </si>
  <si>
    <t>404308</t>
  </si>
  <si>
    <t>E52-E58</t>
  </si>
  <si>
    <t>213088</t>
  </si>
  <si>
    <t>404307</t>
  </si>
  <si>
    <t>E59-E62</t>
  </si>
  <si>
    <t>212862</t>
  </si>
  <si>
    <t>404017
404018
10004252
10005366</t>
  </si>
  <si>
    <t>G1-G80</t>
  </si>
  <si>
    <t>Driver Board Agile Documentation Verification</t>
  </si>
  <si>
    <t>One row per inventory-sheet entry. Tooling and driver documentation are tracked separately.</t>
  </si>
  <si>
    <t>Cabinet</t>
  </si>
  <si>
    <t>Entries</t>
  </si>
  <si>
    <t>Tooling Docs in Agile</t>
  </si>
  <si>
    <t>Tooling %</t>
  </si>
  <si>
    <t>Driver Docs in Agile</t>
  </si>
  <si>
    <t>Driver %</t>
  </si>
  <si>
    <t>A</t>
  </si>
  <si>
    <t>B</t>
  </si>
  <si>
    <t>C</t>
  </si>
  <si>
    <t>E</t>
  </si>
  <si>
    <t>G</t>
  </si>
  <si>
    <t>Total</t>
  </si>
  <si>
    <t>How to Use</t>
  </si>
  <si>
    <t>1. Checkboxes: tap the cell and pick ☑ (checked) or ☐ (unchecked) from the dropdown. Blank counts as unchecked.</t>
  </si>
  <si>
    <t>2. If the driver is found, check 'Driver Found?' and enter its number in Driver Number.</t>
  </si>
  <si>
    <t>3. Check 'Tooling Documentation in Agile?' and 'Driver Documentation in Agile?' as you verify each in Agile.</t>
  </si>
  <si>
    <t xml:space="preserve">    The row turns green when BOTH are checked, and the Summary above tracks each one separately.</t>
  </si>
  <si>
    <t>4. ADDING AN ENTRY: type it in the first empty row under the table (Location can be a single slot like B50 or a range like B50-B52).</t>
  </si>
  <si>
    <t xml:space="preserve">    Sort Key fills in automatically; click its header arrow and Sort A to Z to slot the entry into the correct position.</t>
  </si>
  <si>
    <t xml:space="preserve">    If a multi-line row looks clipped after sorting, select the rows and use Home &gt; Format &gt; AutoFit Row Height.</t>
  </si>
  <si>
    <t>5. Notes is free text. Date Complete uses mm/dd/yyyy.</t>
  </si>
  <si>
    <t>Example entry (format only - not real data; Sort Key fills itself):</t>
  </si>
  <si>
    <t>205999</t>
  </si>
  <si>
    <t>301234
301235</t>
  </si>
  <si>
    <t>B50-B52</t>
  </si>
  <si>
    <t>☑</t>
  </si>
  <si>
    <t>208001</t>
  </si>
  <si>
    <t>Verified against Agile rev B</t>
  </si>
  <si>
    <t>07/20/2026</t>
  </si>
  <si>
    <t>B050</t>
  </si>
  <si>
    <t>208792</t>
  </si>
  <si>
    <t>213679</t>
  </si>
  <si>
    <t>driver # not on box</t>
  </si>
  <si>
    <t>216190</t>
  </si>
  <si>
    <t>driver files not in agile</t>
  </si>
  <si>
    <t>213680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</si>
</sst>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%"/>
  </numFmts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2"/>
      <name val="Arial"/>
      <charset val="1"/>
    </font>
    <font>
      <i/>
      <sz val="9"/>
      <color rgb="FF808080"/>
      <name val="Arial"/>
      <charset val="1"/>
    </font>
    <font>
      <b/>
      <sz val="14"/>
      <color rgb="FF1F4E78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8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E4DFE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E4DFEC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DCE6F1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E7E6E6"/>
      <rgbColor rgb="FFE4DFEC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ardTracker" displayName="BoardTracker" ref="A1:J48" totalsRowShown="0">
  <autoFilter ref="A1:J48" xr:uid="{00000000-0009-0000-0100-000001000000}"/>
  <tableColumns count="10">
    <tableColumn id="1" xr3:uid="{00000000-0010-0000-0000-000001000000}" name="Tooling Number"/>
    <tableColumn id="2" xr3:uid="{00000000-0010-0000-0000-000002000000}" name="Part Number"/>
    <tableColumn id="3" xr3:uid="{00000000-0010-0000-0000-000003000000}" name="Location"/>
    <tableColumn id="4" xr3:uid="{00000000-0010-0000-0000-000004000000}" name="Driver Found?"/>
    <tableColumn id="5" xr3:uid="{00000000-0010-0000-0000-000005000000}" name="Driver Number"/>
    <tableColumn id="6" xr3:uid="{00000000-0010-0000-0000-000006000000}" name="Tooling Documentation in Agile?"/>
    <tableColumn id="7" xr3:uid="{00000000-0010-0000-0000-000007000000}" name="Driver Documentation in Agile?"/>
    <tableColumn id="8" xr3:uid="{00000000-0010-0000-0000-000008000000}" name="Notes"/>
    <tableColumn id="9" xr3:uid="{00000000-0010-0000-0000-000009000000}" name="Date Complete"/>
    <tableColumn id="10" xr3:uid="{00000000-0010-0000-0000-00000A000000}" name="Sort Ke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Normal="100" workbookViewId="0">
      <pane ySplit="1" topLeftCell="A2" activePane="bottomLeft" state="frozen"/>
      <selection pane="bottomLeft" activeCell="H8" sqref="H8"/>
    </sheetView>
  </sheetViews>
  <sheetFormatPr defaultColWidth="8.6640625" defaultRowHeight="14.4" x14ac:dyDescent="0.3"/>
  <cols>
    <col min="1" max="2" width="15" customWidth="1"/>
    <col min="3" max="4" width="12" customWidth="1"/>
    <col min="5" max="5" width="14" customWidth="1"/>
    <col min="6" max="7" width="15" customWidth="1"/>
    <col min="8" max="8" width="40" customWidth="1"/>
    <col min="9" max="9" width="13" customWidth="1"/>
    <col min="10" max="10" width="9" customWidth="1"/>
  </cols>
  <sheetData>
    <row r="1" spans="1:10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customHeight="1" x14ac:dyDescent="0.3">
      <c r="A2" s="2" t="s">
        <v>10</v>
      </c>
      <c r="B2" s="3" t="s">
        <v>11</v>
      </c>
      <c r="C2" s="4" t="s">
        <v>12</v>
      </c>
      <c r="D2" s="5" t="s">
        <v>177</v>
      </c>
      <c r="E2" s="19" t="s">
        <v>185</v>
      </c>
      <c r="F2" s="5" t="s">
        <v>177</v>
      </c>
      <c r="G2" s="5" t="s">
        <v>13</v>
      </c>
      <c r="H2" s="20" t="s">
        <v>186</v>
      </c>
      <c r="I2" s="7"/>
      <c r="J2" s="8" t="str">
        <f t="shared" ref="J2:J48" si="0">IF($C2="","",LEFT($C2,1)&amp;TEXT(VALUE(MID($C2,2,IFERROR(FIND("-",$C2),LEN($C2)+1)-2)),"000"))</f>
        <v>A001</v>
      </c>
    </row>
    <row r="3" spans="1:10" ht="15.75" customHeight="1" x14ac:dyDescent="0.3">
      <c r="A3" s="2" t="s">
        <v>14</v>
      </c>
      <c r="B3" s="3" t="s">
        <v>15</v>
      </c>
      <c r="C3" s="4" t="s">
        <v>16</v>
      </c>
      <c r="D3" s="5" t="s">
        <v>13</v>
      </c>
      <c r="E3" s="2"/>
      <c r="F3" s="5" t="s">
        <v>177</v>
      </c>
      <c r="G3" s="5" t="s">
        <v>13</v>
      </c>
      <c r="H3" s="6"/>
      <c r="I3" s="7"/>
      <c r="J3" s="8" t="str">
        <f t="shared" si="0"/>
        <v>A019</v>
      </c>
    </row>
    <row r="4" spans="1:10" ht="58.5" customHeight="1" x14ac:dyDescent="0.3">
      <c r="A4" s="2" t="s">
        <v>17</v>
      </c>
      <c r="B4" s="3" t="s">
        <v>18</v>
      </c>
      <c r="C4" s="4" t="s">
        <v>19</v>
      </c>
      <c r="D4" s="5" t="s">
        <v>13</v>
      </c>
      <c r="E4" s="2"/>
      <c r="F4" s="5" t="s">
        <v>177</v>
      </c>
      <c r="G4" s="5" t="s">
        <v>13</v>
      </c>
      <c r="H4" s="6"/>
      <c r="I4" s="7"/>
      <c r="J4" s="8" t="str">
        <f t="shared" si="0"/>
        <v>A027</v>
      </c>
    </row>
    <row r="5" spans="1:10" ht="31.5" customHeight="1" x14ac:dyDescent="0.3">
      <c r="A5" s="2" t="s">
        <v>20</v>
      </c>
      <c r="B5" s="3" t="s">
        <v>21</v>
      </c>
      <c r="C5" s="4" t="s">
        <v>22</v>
      </c>
      <c r="D5" s="5" t="s">
        <v>13</v>
      </c>
      <c r="E5" s="2"/>
      <c r="F5" s="5" t="s">
        <v>177</v>
      </c>
      <c r="G5" s="5" t="s">
        <v>13</v>
      </c>
      <c r="H5" s="6"/>
      <c r="I5" s="7"/>
      <c r="J5" s="8" t="str">
        <f t="shared" si="0"/>
        <v>A031</v>
      </c>
    </row>
    <row r="6" spans="1:10" ht="15.75" customHeight="1" x14ac:dyDescent="0.3">
      <c r="A6" s="2" t="s">
        <v>23</v>
      </c>
      <c r="B6" s="3" t="s">
        <v>24</v>
      </c>
      <c r="C6" s="4" t="s">
        <v>25</v>
      </c>
      <c r="D6" s="5" t="s">
        <v>177</v>
      </c>
      <c r="E6" s="2"/>
      <c r="F6" s="5" t="s">
        <v>177</v>
      </c>
      <c r="G6" s="5" t="s">
        <v>13</v>
      </c>
      <c r="H6" s="6" t="s">
        <v>184</v>
      </c>
      <c r="I6" s="7"/>
      <c r="J6" s="8" t="str">
        <f t="shared" si="0"/>
        <v>A046</v>
      </c>
    </row>
    <row r="7" spans="1:10" ht="31.5" customHeight="1" x14ac:dyDescent="0.3">
      <c r="A7" s="2" t="s">
        <v>26</v>
      </c>
      <c r="B7" s="3" t="s">
        <v>27</v>
      </c>
      <c r="C7" s="4" t="s">
        <v>28</v>
      </c>
      <c r="D7" s="5" t="s">
        <v>13</v>
      </c>
      <c r="E7" s="2"/>
      <c r="F7" s="5" t="s">
        <v>177</v>
      </c>
      <c r="G7" s="5" t="s">
        <v>13</v>
      </c>
      <c r="H7" s="6"/>
      <c r="I7" s="7"/>
      <c r="J7" s="8" t="str">
        <f t="shared" si="0"/>
        <v>A060</v>
      </c>
    </row>
    <row r="8" spans="1:10" ht="31.5" customHeight="1" x14ac:dyDescent="0.3">
      <c r="A8" s="2" t="s">
        <v>29</v>
      </c>
      <c r="B8" s="3" t="s">
        <v>30</v>
      </c>
      <c r="C8" s="4" t="s">
        <v>31</v>
      </c>
      <c r="D8" s="5" t="s">
        <v>177</v>
      </c>
      <c r="E8" s="2"/>
      <c r="F8" s="5" t="s">
        <v>177</v>
      </c>
      <c r="G8" s="5" t="s">
        <v>13</v>
      </c>
      <c r="H8" s="6" t="s">
        <v>184</v>
      </c>
      <c r="I8" s="7"/>
      <c r="J8" s="8" t="str">
        <f t="shared" si="0"/>
        <v>B001</v>
      </c>
    </row>
    <row r="9" spans="1:10" ht="45" customHeight="1" x14ac:dyDescent="0.3">
      <c r="A9" s="2" t="s">
        <v>32</v>
      </c>
      <c r="B9" s="3" t="s">
        <v>33</v>
      </c>
      <c r="C9" s="4" t="s">
        <v>34</v>
      </c>
      <c r="D9" s="5" t="s">
        <v>177</v>
      </c>
      <c r="E9" s="2"/>
      <c r="F9" s="5" t="s">
        <v>177</v>
      </c>
      <c r="G9" s="5" t="s">
        <v>13</v>
      </c>
      <c r="H9" s="6" t="s">
        <v>184</v>
      </c>
      <c r="I9" s="7"/>
      <c r="J9" s="8" t="str">
        <f t="shared" si="0"/>
        <v>B005</v>
      </c>
    </row>
    <row r="10" spans="1:10" ht="45" customHeight="1" x14ac:dyDescent="0.3">
      <c r="A10" s="2" t="s">
        <v>35</v>
      </c>
      <c r="B10" s="3" t="s">
        <v>36</v>
      </c>
      <c r="C10" s="4" t="s">
        <v>37</v>
      </c>
      <c r="D10" s="5" t="s">
        <v>177</v>
      </c>
      <c r="E10" s="19" t="s">
        <v>183</v>
      </c>
      <c r="F10" s="5" t="s">
        <v>177</v>
      </c>
      <c r="G10" s="5" t="s">
        <v>177</v>
      </c>
      <c r="H10" s="6"/>
      <c r="I10" s="7">
        <v>46224</v>
      </c>
      <c r="J10" s="8" t="str">
        <f t="shared" si="0"/>
        <v>B009</v>
      </c>
    </row>
    <row r="11" spans="1:10" ht="31.5" customHeight="1" x14ac:dyDescent="0.3">
      <c r="A11" s="2" t="s">
        <v>38</v>
      </c>
      <c r="B11" s="3" t="s">
        <v>39</v>
      </c>
      <c r="C11" s="4" t="s">
        <v>40</v>
      </c>
      <c r="D11" s="5" t="s">
        <v>13</v>
      </c>
      <c r="E11" s="2"/>
      <c r="F11" s="5" t="s">
        <v>177</v>
      </c>
      <c r="G11" s="5" t="s">
        <v>13</v>
      </c>
      <c r="H11" s="6"/>
      <c r="I11" s="7"/>
      <c r="J11" s="8" t="str">
        <f t="shared" si="0"/>
        <v>B013</v>
      </c>
    </row>
    <row r="12" spans="1:10" ht="15.75" customHeight="1" x14ac:dyDescent="0.3">
      <c r="A12" s="2" t="s">
        <v>41</v>
      </c>
      <c r="B12" s="3" t="s">
        <v>42</v>
      </c>
      <c r="C12" s="4" t="s">
        <v>43</v>
      </c>
      <c r="D12" s="5" t="s">
        <v>13</v>
      </c>
      <c r="E12" s="2"/>
      <c r="F12" s="5" t="s">
        <v>177</v>
      </c>
      <c r="G12" s="5" t="s">
        <v>13</v>
      </c>
      <c r="H12" s="6"/>
      <c r="I12" s="7"/>
      <c r="J12" s="8" t="str">
        <f t="shared" si="0"/>
        <v>B016</v>
      </c>
    </row>
    <row r="13" spans="1:10" ht="15.75" customHeight="1" x14ac:dyDescent="0.3">
      <c r="A13" s="2" t="s">
        <v>44</v>
      </c>
      <c r="B13" s="3" t="s">
        <v>45</v>
      </c>
      <c r="C13" s="4" t="s">
        <v>46</v>
      </c>
      <c r="D13" s="5" t="s">
        <v>13</v>
      </c>
      <c r="E13" s="2"/>
      <c r="F13" s="5" t="s">
        <v>177</v>
      </c>
      <c r="G13" s="5" t="s">
        <v>13</v>
      </c>
      <c r="H13" s="6"/>
      <c r="I13" s="7"/>
      <c r="J13" s="8" t="str">
        <f t="shared" si="0"/>
        <v>B020</v>
      </c>
    </row>
    <row r="14" spans="1:10" ht="15.75" customHeight="1" x14ac:dyDescent="0.3">
      <c r="A14" s="2" t="s">
        <v>47</v>
      </c>
      <c r="B14" s="3" t="s">
        <v>48</v>
      </c>
      <c r="C14" s="4" t="s">
        <v>49</v>
      </c>
      <c r="D14" s="5" t="s">
        <v>13</v>
      </c>
      <c r="E14" s="2"/>
      <c r="F14" s="5" t="s">
        <v>177</v>
      </c>
      <c r="G14" s="5" t="s">
        <v>13</v>
      </c>
      <c r="H14" s="6"/>
      <c r="I14" s="7"/>
      <c r="J14" s="8" t="str">
        <f t="shared" si="0"/>
        <v>B022</v>
      </c>
    </row>
    <row r="15" spans="1:10" ht="15.75" customHeight="1" x14ac:dyDescent="0.3">
      <c r="A15" s="2" t="s">
        <v>50</v>
      </c>
      <c r="B15" s="3" t="s">
        <v>51</v>
      </c>
      <c r="C15" s="4" t="s">
        <v>52</v>
      </c>
      <c r="D15" s="5" t="s">
        <v>13</v>
      </c>
      <c r="E15" s="2"/>
      <c r="F15" s="5" t="s">
        <v>177</v>
      </c>
      <c r="G15" s="5" t="s">
        <v>13</v>
      </c>
      <c r="H15" s="6"/>
      <c r="I15" s="7"/>
      <c r="J15" s="8" t="str">
        <f t="shared" si="0"/>
        <v>B024</v>
      </c>
    </row>
    <row r="16" spans="1:10" ht="15.75" customHeight="1" x14ac:dyDescent="0.3">
      <c r="A16" s="2" t="s">
        <v>53</v>
      </c>
      <c r="B16" s="3" t="s">
        <v>54</v>
      </c>
      <c r="C16" s="4" t="s">
        <v>55</v>
      </c>
      <c r="D16" s="5" t="s">
        <v>13</v>
      </c>
      <c r="E16" s="2"/>
      <c r="F16" s="5" t="s">
        <v>177</v>
      </c>
      <c r="G16" s="5" t="s">
        <v>13</v>
      </c>
      <c r="H16" s="6"/>
      <c r="I16" s="7"/>
      <c r="J16" s="8" t="str">
        <f t="shared" si="0"/>
        <v>B026</v>
      </c>
    </row>
    <row r="17" spans="1:10" ht="15.75" customHeight="1" x14ac:dyDescent="0.3">
      <c r="A17" s="2" t="s">
        <v>56</v>
      </c>
      <c r="B17" s="3" t="s">
        <v>57</v>
      </c>
      <c r="C17" s="4" t="s">
        <v>58</v>
      </c>
      <c r="D17" s="5" t="s">
        <v>177</v>
      </c>
      <c r="E17" s="2"/>
      <c r="F17" s="5" t="s">
        <v>177</v>
      </c>
      <c r="G17" s="5" t="s">
        <v>13</v>
      </c>
      <c r="H17" s="6" t="s">
        <v>184</v>
      </c>
      <c r="I17" s="7"/>
      <c r="J17" s="8" t="str">
        <f t="shared" si="0"/>
        <v>B028</v>
      </c>
    </row>
    <row r="18" spans="1:10" ht="45" customHeight="1" x14ac:dyDescent="0.3">
      <c r="A18" s="2" t="s">
        <v>59</v>
      </c>
      <c r="B18" s="3" t="s">
        <v>60</v>
      </c>
      <c r="C18" s="4" t="s">
        <v>61</v>
      </c>
      <c r="D18" s="5" t="s">
        <v>13</v>
      </c>
      <c r="E18" s="2"/>
      <c r="F18" s="5" t="s">
        <v>177</v>
      </c>
      <c r="G18" s="5" t="s">
        <v>13</v>
      </c>
      <c r="H18" s="6"/>
      <c r="I18" s="7"/>
      <c r="J18" s="8" t="str">
        <f t="shared" si="0"/>
        <v>B032</v>
      </c>
    </row>
    <row r="19" spans="1:10" ht="45" customHeight="1" x14ac:dyDescent="0.3">
      <c r="A19" s="2" t="s">
        <v>10</v>
      </c>
      <c r="B19" s="3" t="s">
        <v>62</v>
      </c>
      <c r="C19" s="4" t="s">
        <v>63</v>
      </c>
      <c r="D19" s="5" t="s">
        <v>13</v>
      </c>
      <c r="E19" s="2"/>
      <c r="F19" s="5" t="s">
        <v>177</v>
      </c>
      <c r="G19" s="5" t="s">
        <v>13</v>
      </c>
      <c r="H19" s="6"/>
      <c r="I19" s="7"/>
      <c r="J19" s="8" t="str">
        <f t="shared" si="0"/>
        <v>B036</v>
      </c>
    </row>
    <row r="20" spans="1:10" ht="31.5" customHeight="1" x14ac:dyDescent="0.3">
      <c r="A20" s="2" t="s">
        <v>182</v>
      </c>
      <c r="B20" s="3" t="s">
        <v>64</v>
      </c>
      <c r="C20" s="4" t="s">
        <v>65</v>
      </c>
      <c r="D20" s="5" t="s">
        <v>13</v>
      </c>
      <c r="E20" s="2"/>
      <c r="F20" s="5" t="s">
        <v>177</v>
      </c>
      <c r="G20" s="5" t="s">
        <v>13</v>
      </c>
      <c r="H20" s="6"/>
      <c r="I20" s="7"/>
      <c r="J20" s="8" t="str">
        <f t="shared" si="0"/>
        <v>B043</v>
      </c>
    </row>
    <row r="21" spans="1:10" ht="15.75" customHeight="1" x14ac:dyDescent="0.3">
      <c r="A21" s="2" t="s">
        <v>66</v>
      </c>
      <c r="B21" s="3" t="s">
        <v>67</v>
      </c>
      <c r="C21" s="4" t="s">
        <v>68</v>
      </c>
      <c r="D21" s="5" t="s">
        <v>13</v>
      </c>
      <c r="E21" s="2"/>
      <c r="F21" s="5" t="s">
        <v>177</v>
      </c>
      <c r="G21" s="5" t="s">
        <v>13</v>
      </c>
      <c r="H21" s="6"/>
      <c r="I21" s="7"/>
      <c r="J21" s="8" t="str">
        <f t="shared" si="0"/>
        <v>B046</v>
      </c>
    </row>
    <row r="22" spans="1:10" ht="15.75" customHeight="1" x14ac:dyDescent="0.3">
      <c r="A22" s="2" t="s">
        <v>69</v>
      </c>
      <c r="B22" s="3" t="s">
        <v>70</v>
      </c>
      <c r="C22" s="4" t="s">
        <v>71</v>
      </c>
      <c r="D22" s="5" t="s">
        <v>177</v>
      </c>
      <c r="E22" s="2"/>
      <c r="F22" s="5" t="s">
        <v>177</v>
      </c>
      <c r="G22" s="5" t="s">
        <v>13</v>
      </c>
      <c r="H22" s="6" t="s">
        <v>184</v>
      </c>
      <c r="J22" s="8" t="str">
        <f t="shared" si="0"/>
        <v>B051</v>
      </c>
    </row>
    <row r="23" spans="1:10" ht="15.75" customHeight="1" x14ac:dyDescent="0.3">
      <c r="A23" s="2" t="s">
        <v>72</v>
      </c>
      <c r="B23" s="3" t="s">
        <v>73</v>
      </c>
      <c r="C23" s="4" t="s">
        <v>74</v>
      </c>
      <c r="D23" s="5" t="s">
        <v>177</v>
      </c>
      <c r="E23" s="19" t="s">
        <v>72</v>
      </c>
      <c r="F23" s="5" t="s">
        <v>177</v>
      </c>
      <c r="G23" s="5" t="s">
        <v>177</v>
      </c>
      <c r="H23" s="6"/>
      <c r="I23" s="7">
        <v>46224</v>
      </c>
      <c r="J23" s="8" t="str">
        <f t="shared" si="0"/>
        <v>B054</v>
      </c>
    </row>
    <row r="24" spans="1:10" ht="15.75" customHeight="1" x14ac:dyDescent="0.3">
      <c r="A24" s="2" t="s">
        <v>75</v>
      </c>
      <c r="B24" s="3" t="s">
        <v>76</v>
      </c>
      <c r="C24" s="4" t="s">
        <v>77</v>
      </c>
      <c r="D24" s="5" t="s">
        <v>177</v>
      </c>
      <c r="E24" s="19" t="s">
        <v>72</v>
      </c>
      <c r="F24" s="5" t="s">
        <v>177</v>
      </c>
      <c r="G24" s="5" t="s">
        <v>177</v>
      </c>
      <c r="H24" s="6"/>
      <c r="I24" s="7">
        <v>46223</v>
      </c>
      <c r="J24" s="8" t="str">
        <f t="shared" si="0"/>
        <v>B056</v>
      </c>
    </row>
    <row r="25" spans="1:10" ht="15.75" customHeight="1" x14ac:dyDescent="0.3">
      <c r="A25" s="2" t="s">
        <v>78</v>
      </c>
      <c r="B25" s="3" t="s">
        <v>79</v>
      </c>
      <c r="C25" s="4" t="s">
        <v>80</v>
      </c>
      <c r="D25" s="5" t="s">
        <v>177</v>
      </c>
      <c r="E25" s="19" t="s">
        <v>78</v>
      </c>
      <c r="F25" s="5" t="s">
        <v>177</v>
      </c>
      <c r="G25" s="5" t="s">
        <v>177</v>
      </c>
      <c r="H25" s="6"/>
      <c r="I25" s="7">
        <v>46223</v>
      </c>
      <c r="J25" s="8" t="str">
        <f t="shared" si="0"/>
        <v>B058</v>
      </c>
    </row>
    <row r="26" spans="1:10" ht="31.5" customHeight="1" x14ac:dyDescent="0.3">
      <c r="A26" s="2" t="s">
        <v>81</v>
      </c>
      <c r="B26" s="3" t="s">
        <v>82</v>
      </c>
      <c r="C26" s="4" t="s">
        <v>83</v>
      </c>
      <c r="D26" s="5" t="s">
        <v>177</v>
      </c>
      <c r="E26" s="2"/>
      <c r="F26" s="5" t="s">
        <v>177</v>
      </c>
      <c r="G26" s="5" t="s">
        <v>13</v>
      </c>
      <c r="H26" s="6" t="s">
        <v>184</v>
      </c>
      <c r="I26" s="7"/>
      <c r="J26" s="8" t="str">
        <f t="shared" si="0"/>
        <v>B060</v>
      </c>
    </row>
    <row r="27" spans="1:10" ht="58.5" customHeight="1" x14ac:dyDescent="0.3">
      <c r="A27" s="2" t="s">
        <v>84</v>
      </c>
      <c r="B27" s="3" t="s">
        <v>85</v>
      </c>
      <c r="C27" s="4" t="s">
        <v>86</v>
      </c>
      <c r="D27" s="5" t="s">
        <v>13</v>
      </c>
      <c r="E27" s="2"/>
      <c r="F27" s="5" t="s">
        <v>177</v>
      </c>
      <c r="G27" s="5" t="s">
        <v>13</v>
      </c>
      <c r="H27" s="6"/>
      <c r="I27" s="7"/>
      <c r="J27" s="8" t="str">
        <f t="shared" si="0"/>
        <v>B065</v>
      </c>
    </row>
    <row r="28" spans="1:10" ht="15.75" customHeight="1" x14ac:dyDescent="0.3">
      <c r="A28" s="2" t="s">
        <v>87</v>
      </c>
      <c r="B28" s="3" t="s">
        <v>88</v>
      </c>
      <c r="C28" s="4" t="s">
        <v>89</v>
      </c>
      <c r="D28" s="5" t="s">
        <v>177</v>
      </c>
      <c r="E28" s="2"/>
      <c r="F28" s="5" t="s">
        <v>177</v>
      </c>
      <c r="G28" s="5" t="s">
        <v>13</v>
      </c>
      <c r="H28" s="6" t="s">
        <v>184</v>
      </c>
      <c r="I28" s="7"/>
      <c r="J28" s="8" t="str">
        <f t="shared" si="0"/>
        <v>B073</v>
      </c>
    </row>
    <row r="29" spans="1:10" ht="15.75" customHeight="1" x14ac:dyDescent="0.3">
      <c r="A29" s="2" t="s">
        <v>90</v>
      </c>
      <c r="B29" s="3" t="s">
        <v>91</v>
      </c>
      <c r="C29" s="4" t="s">
        <v>92</v>
      </c>
      <c r="D29" s="5" t="s">
        <v>177</v>
      </c>
      <c r="E29" s="19" t="s">
        <v>93</v>
      </c>
      <c r="F29" s="5" t="s">
        <v>177</v>
      </c>
      <c r="G29" s="5" t="s">
        <v>177</v>
      </c>
      <c r="H29" s="6"/>
      <c r="I29" s="7">
        <v>46224</v>
      </c>
      <c r="J29" s="8" t="str">
        <f t="shared" si="0"/>
        <v>C001</v>
      </c>
    </row>
    <row r="30" spans="1:10" ht="15.75" customHeight="1" x14ac:dyDescent="0.3">
      <c r="A30" s="2" t="s">
        <v>93</v>
      </c>
      <c r="B30" s="3" t="s">
        <v>94</v>
      </c>
      <c r="C30" s="4" t="s">
        <v>95</v>
      </c>
      <c r="D30" s="5" t="s">
        <v>177</v>
      </c>
      <c r="E30" s="19" t="s">
        <v>93</v>
      </c>
      <c r="F30" s="5" t="s">
        <v>177</v>
      </c>
      <c r="G30" s="5" t="s">
        <v>177</v>
      </c>
      <c r="H30" s="6"/>
      <c r="I30" s="7">
        <v>46224</v>
      </c>
      <c r="J30" s="8" t="str">
        <f t="shared" si="0"/>
        <v>C009</v>
      </c>
    </row>
    <row r="31" spans="1:10" ht="31.5" customHeight="1" x14ac:dyDescent="0.3">
      <c r="A31" s="2" t="s">
        <v>96</v>
      </c>
      <c r="B31" s="3" t="s">
        <v>97</v>
      </c>
      <c r="C31" s="4" t="s">
        <v>98</v>
      </c>
      <c r="D31" s="5" t="s">
        <v>177</v>
      </c>
      <c r="E31" s="19" t="s">
        <v>187</v>
      </c>
      <c r="F31" s="5" t="s">
        <v>177</v>
      </c>
      <c r="G31" s="5" t="s">
        <v>177</v>
      </c>
      <c r="H31" s="6"/>
      <c r="I31" s="7">
        <v>46224</v>
      </c>
      <c r="J31" s="8" t="str">
        <f t="shared" si="0"/>
        <v>C016</v>
      </c>
    </row>
    <row r="32" spans="1:10" ht="31.5" customHeight="1" x14ac:dyDescent="0.3">
      <c r="A32" s="2" t="s">
        <v>99</v>
      </c>
      <c r="B32" s="3" t="s">
        <v>100</v>
      </c>
      <c r="C32" s="4" t="s">
        <v>101</v>
      </c>
      <c r="D32" s="5" t="s">
        <v>177</v>
      </c>
      <c r="E32" s="19" t="s">
        <v>187</v>
      </c>
      <c r="F32" s="5" t="s">
        <v>177</v>
      </c>
      <c r="G32" s="5" t="s">
        <v>177</v>
      </c>
      <c r="H32" s="6"/>
      <c r="I32" s="7">
        <v>46224</v>
      </c>
      <c r="J32" s="8" t="str">
        <f t="shared" si="0"/>
        <v>C052</v>
      </c>
    </row>
    <row r="33" spans="1:10" ht="31.5" customHeight="1" x14ac:dyDescent="0.3">
      <c r="A33" s="2" t="s">
        <v>102</v>
      </c>
      <c r="B33" s="3" t="s">
        <v>103</v>
      </c>
      <c r="C33" s="4" t="s">
        <v>104</v>
      </c>
      <c r="D33" s="5" t="s">
        <v>177</v>
      </c>
      <c r="E33" s="19" t="s">
        <v>187</v>
      </c>
      <c r="F33" s="5" t="s">
        <v>177</v>
      </c>
      <c r="G33" s="5" t="s">
        <v>177</v>
      </c>
      <c r="H33" s="6"/>
      <c r="I33" s="7">
        <v>46224</v>
      </c>
      <c r="J33" s="8" t="str">
        <f t="shared" si="0"/>
        <v>C067</v>
      </c>
    </row>
    <row r="34" spans="1:10" ht="15.75" customHeight="1" x14ac:dyDescent="0.3">
      <c r="A34" s="2" t="s">
        <v>105</v>
      </c>
      <c r="B34" s="3" t="s">
        <v>106</v>
      </c>
      <c r="C34" s="4" t="s">
        <v>107</v>
      </c>
      <c r="D34" s="5" t="s">
        <v>177</v>
      </c>
      <c r="E34" s="2"/>
      <c r="F34" s="5" t="s">
        <v>177</v>
      </c>
      <c r="G34" s="5" t="s">
        <v>13</v>
      </c>
      <c r="H34" s="6" t="s">
        <v>184</v>
      </c>
      <c r="I34" s="7"/>
      <c r="J34" s="8" t="str">
        <f t="shared" si="0"/>
        <v>E001</v>
      </c>
    </row>
    <row r="35" spans="1:10" ht="15.75" customHeight="1" x14ac:dyDescent="0.3">
      <c r="A35" s="2" t="s">
        <v>108</v>
      </c>
      <c r="B35" s="3" t="s">
        <v>109</v>
      </c>
      <c r="C35" s="4" t="s">
        <v>110</v>
      </c>
      <c r="D35" s="5" t="s">
        <v>13</v>
      </c>
      <c r="E35" s="2"/>
      <c r="F35" s="5" t="s">
        <v>177</v>
      </c>
      <c r="G35" s="5" t="s">
        <v>13</v>
      </c>
      <c r="H35" s="6"/>
      <c r="I35" s="7"/>
      <c r="J35" s="8" t="str">
        <f t="shared" si="0"/>
        <v>E005</v>
      </c>
    </row>
    <row r="36" spans="1:10" ht="15.75" customHeight="1" x14ac:dyDescent="0.3">
      <c r="A36" s="2" t="s">
        <v>111</v>
      </c>
      <c r="B36" s="3" t="s">
        <v>112</v>
      </c>
      <c r="C36" s="4" t="s">
        <v>113</v>
      </c>
      <c r="D36" s="5" t="s">
        <v>13</v>
      </c>
      <c r="E36" s="2"/>
      <c r="F36" s="5" t="s">
        <v>177</v>
      </c>
      <c r="G36" s="5" t="s">
        <v>13</v>
      </c>
      <c r="H36" s="6"/>
      <c r="I36" s="7"/>
      <c r="J36" s="8" t="str">
        <f t="shared" si="0"/>
        <v>E010</v>
      </c>
    </row>
    <row r="37" spans="1:10" ht="15.75" customHeight="1" x14ac:dyDescent="0.3">
      <c r="A37" s="2" t="s">
        <v>114</v>
      </c>
      <c r="B37" s="3" t="s">
        <v>115</v>
      </c>
      <c r="C37" s="4" t="s">
        <v>116</v>
      </c>
      <c r="D37" s="5" t="s">
        <v>177</v>
      </c>
      <c r="E37" s="2"/>
      <c r="F37" s="5" t="s">
        <v>177</v>
      </c>
      <c r="G37" s="5" t="s">
        <v>13</v>
      </c>
      <c r="H37" s="6" t="s">
        <v>184</v>
      </c>
      <c r="I37" s="7"/>
      <c r="J37" s="8" t="str">
        <f t="shared" si="0"/>
        <v>E012</v>
      </c>
    </row>
    <row r="38" spans="1:10" ht="15.75" customHeight="1" x14ac:dyDescent="0.3">
      <c r="A38" s="2" t="s">
        <v>117</v>
      </c>
      <c r="B38" s="3" t="s">
        <v>118</v>
      </c>
      <c r="C38" s="4" t="s">
        <v>119</v>
      </c>
      <c r="D38" s="5" t="s">
        <v>13</v>
      </c>
      <c r="E38" s="2"/>
      <c r="F38" s="5" t="s">
        <v>177</v>
      </c>
      <c r="G38" s="5" t="s">
        <v>13</v>
      </c>
      <c r="H38" s="6"/>
      <c r="I38" s="7"/>
      <c r="J38" s="8" t="str">
        <f t="shared" si="0"/>
        <v>E016</v>
      </c>
    </row>
    <row r="39" spans="1:10" ht="15.75" customHeight="1" x14ac:dyDescent="0.3">
      <c r="A39" s="2" t="s">
        <v>120</v>
      </c>
      <c r="B39" s="3" t="s">
        <v>121</v>
      </c>
      <c r="C39" s="4" t="s">
        <v>122</v>
      </c>
      <c r="D39" s="5" t="s">
        <v>13</v>
      </c>
      <c r="E39" s="2"/>
      <c r="F39" s="5" t="s">
        <v>177</v>
      </c>
      <c r="G39" s="5" t="s">
        <v>13</v>
      </c>
      <c r="H39" s="6"/>
      <c r="I39" s="7"/>
      <c r="J39" s="8" t="str">
        <f t="shared" si="0"/>
        <v>E019</v>
      </c>
    </row>
    <row r="40" spans="1:10" ht="15.75" customHeight="1" x14ac:dyDescent="0.3">
      <c r="A40" s="2" t="s">
        <v>123</v>
      </c>
      <c r="B40" s="3" t="s">
        <v>124</v>
      </c>
      <c r="C40" s="4" t="s">
        <v>125</v>
      </c>
      <c r="D40" s="5" t="s">
        <v>13</v>
      </c>
      <c r="E40" s="2"/>
      <c r="F40" s="5" t="s">
        <v>177</v>
      </c>
      <c r="G40" s="5" t="s">
        <v>13</v>
      </c>
      <c r="H40" s="6"/>
      <c r="I40" s="7"/>
      <c r="J40" s="8" t="str">
        <f t="shared" si="0"/>
        <v>E022</v>
      </c>
    </row>
    <row r="41" spans="1:10" ht="15.75" customHeight="1" x14ac:dyDescent="0.3">
      <c r="A41" s="2" t="s">
        <v>126</v>
      </c>
      <c r="B41" s="3" t="s">
        <v>127</v>
      </c>
      <c r="C41" s="4" t="s">
        <v>128</v>
      </c>
      <c r="D41" s="5" t="s">
        <v>13</v>
      </c>
      <c r="E41" s="2"/>
      <c r="F41" s="5" t="s">
        <v>177</v>
      </c>
      <c r="G41" s="5" t="s">
        <v>13</v>
      </c>
      <c r="H41" s="6"/>
      <c r="I41" s="7"/>
      <c r="J41" s="8" t="str">
        <f t="shared" si="0"/>
        <v>E027</v>
      </c>
    </row>
    <row r="42" spans="1:10" ht="15.75" customHeight="1" x14ac:dyDescent="0.3">
      <c r="A42" s="2" t="s">
        <v>129</v>
      </c>
      <c r="B42" s="3" t="s">
        <v>130</v>
      </c>
      <c r="C42" s="4" t="s">
        <v>131</v>
      </c>
      <c r="D42" s="5" t="s">
        <v>13</v>
      </c>
      <c r="E42" s="2"/>
      <c r="F42" s="5" t="s">
        <v>177</v>
      </c>
      <c r="G42" s="5" t="s">
        <v>13</v>
      </c>
      <c r="H42" s="6"/>
      <c r="I42" s="7"/>
      <c r="J42" s="8" t="str">
        <f t="shared" si="0"/>
        <v>E031</v>
      </c>
    </row>
    <row r="43" spans="1:10" ht="15.75" customHeight="1" x14ac:dyDescent="0.3">
      <c r="A43" s="2" t="s">
        <v>132</v>
      </c>
      <c r="B43" s="3" t="s">
        <v>133</v>
      </c>
      <c r="C43" s="4" t="s">
        <v>134</v>
      </c>
      <c r="D43" s="5" t="s">
        <v>177</v>
      </c>
      <c r="E43" s="2"/>
      <c r="F43" s="5" t="s">
        <v>177</v>
      </c>
      <c r="G43" s="5" t="s">
        <v>13</v>
      </c>
      <c r="H43" s="6" t="s">
        <v>184</v>
      </c>
      <c r="I43" s="7"/>
      <c r="J43" s="8" t="str">
        <f t="shared" si="0"/>
        <v>E036</v>
      </c>
    </row>
    <row r="44" spans="1:10" ht="15.75" customHeight="1" x14ac:dyDescent="0.3">
      <c r="A44" s="2" t="s">
        <v>135</v>
      </c>
      <c r="B44" s="3" t="s">
        <v>136</v>
      </c>
      <c r="C44" s="4" t="s">
        <v>137</v>
      </c>
      <c r="D44" s="5" t="s">
        <v>13</v>
      </c>
      <c r="E44" s="2"/>
      <c r="F44" s="5" t="s">
        <v>177</v>
      </c>
      <c r="G44" s="5" t="s">
        <v>13</v>
      </c>
      <c r="H44" s="6"/>
      <c r="I44" s="7"/>
      <c r="J44" s="8" t="str">
        <f t="shared" si="0"/>
        <v>E042</v>
      </c>
    </row>
    <row r="45" spans="1:10" ht="15.75" customHeight="1" x14ac:dyDescent="0.3">
      <c r="A45" s="2" t="s">
        <v>138</v>
      </c>
      <c r="B45" s="3" t="s">
        <v>139</v>
      </c>
      <c r="C45" s="4" t="s">
        <v>140</v>
      </c>
      <c r="D45" s="5" t="s">
        <v>13</v>
      </c>
      <c r="E45" s="2"/>
      <c r="F45" s="5" t="s">
        <v>177</v>
      </c>
      <c r="G45" s="5" t="s">
        <v>13</v>
      </c>
      <c r="H45" s="6"/>
      <c r="I45" s="7"/>
      <c r="J45" s="8" t="str">
        <f t="shared" si="0"/>
        <v>E046</v>
      </c>
    </row>
    <row r="46" spans="1:10" ht="15.75" customHeight="1" x14ac:dyDescent="0.3">
      <c r="A46" s="2" t="s">
        <v>141</v>
      </c>
      <c r="B46" s="3" t="s">
        <v>142</v>
      </c>
      <c r="C46" s="4" t="s">
        <v>143</v>
      </c>
      <c r="D46" s="5" t="s">
        <v>177</v>
      </c>
      <c r="E46" s="2" t="s">
        <v>183</v>
      </c>
      <c r="F46" s="5" t="s">
        <v>177</v>
      </c>
      <c r="G46" s="5" t="s">
        <v>177</v>
      </c>
      <c r="H46" s="6"/>
      <c r="I46" s="7">
        <v>46223</v>
      </c>
      <c r="J46" s="8" t="str">
        <f t="shared" si="0"/>
        <v>E052</v>
      </c>
    </row>
    <row r="47" spans="1:10" ht="15.75" customHeight="1" x14ac:dyDescent="0.3">
      <c r="A47" s="2" t="s">
        <v>144</v>
      </c>
      <c r="B47" s="3" t="s">
        <v>145</v>
      </c>
      <c r="C47" s="4" t="s">
        <v>146</v>
      </c>
      <c r="D47" s="5" t="s">
        <v>177</v>
      </c>
      <c r="E47" s="2" t="s">
        <v>183</v>
      </c>
      <c r="F47" s="5" t="s">
        <v>177</v>
      </c>
      <c r="G47" s="5" t="s">
        <v>177</v>
      </c>
      <c r="H47" s="6"/>
      <c r="I47" s="7">
        <v>46223</v>
      </c>
      <c r="J47" s="8" t="str">
        <f t="shared" si="0"/>
        <v>E059</v>
      </c>
    </row>
    <row r="48" spans="1:10" ht="58.5" customHeight="1" x14ac:dyDescent="0.3">
      <c r="A48" s="2" t="s">
        <v>147</v>
      </c>
      <c r="B48" s="3" t="s">
        <v>148</v>
      </c>
      <c r="C48" s="4" t="s">
        <v>149</v>
      </c>
      <c r="D48" s="5" t="s">
        <v>177</v>
      </c>
      <c r="E48" s="19" t="s">
        <v>187</v>
      </c>
      <c r="F48" s="5" t="s">
        <v>177</v>
      </c>
      <c r="G48" s="5" t="s">
        <v>177</v>
      </c>
      <c r="H48" s="6"/>
      <c r="I48" s="7">
        <v>46224</v>
      </c>
      <c r="J48" s="8" t="str">
        <f t="shared" si="0"/>
        <v>G001</v>
      </c>
    </row>
  </sheetData>
  <conditionalFormatting sqref="A22:H23 J22:J23 A2:J21 A24:J1000">
    <cfRule type="expression" dxfId="7" priority="3">
      <formula>AND($F2="☑",$G2="☑")</formula>
    </cfRule>
  </conditionalFormatting>
  <conditionalFormatting sqref="C2:C1000">
    <cfRule type="expression" dxfId="6" priority="4">
      <formula>LEFT($C2,1)="A"</formula>
    </cfRule>
    <cfRule type="expression" dxfId="5" priority="5">
      <formula>LEFT($C2,1)="B"</formula>
    </cfRule>
    <cfRule type="expression" dxfId="4" priority="6">
      <formula>LEFT($C2,1)="C"</formula>
    </cfRule>
    <cfRule type="expression" dxfId="3" priority="7">
      <formula>LEFT($C2,1)="E"</formula>
    </cfRule>
    <cfRule type="expression" dxfId="2" priority="8">
      <formula>LEFT($C2,1)="G"</formula>
    </cfRule>
  </conditionalFormatting>
  <conditionalFormatting sqref="I23">
    <cfRule type="expression" dxfId="0" priority="1">
      <formula>AND($F23="☑",$G23="☑")</formula>
    </cfRule>
  </conditionalFormatting>
  <dataValidations count="1">
    <dataValidation type="list" allowBlank="1" showErrorMessage="1" errorTitle="Invalid entry" error="Choose the checked or unchecked box from the dropdown." sqref="D2:D1000 F2:G1000" xr:uid="{00000000-0002-0000-0000-000000000000}">
      <formula1>"☐,☑"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ignoredErrors>
    <ignoredError sqref="E24:E25 E46:E47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zoomScaleNormal="100" workbookViewId="0">
      <selection sqref="A1:F1"/>
    </sheetView>
  </sheetViews>
  <sheetFormatPr defaultColWidth="8.6640625" defaultRowHeight="14.4" x14ac:dyDescent="0.3"/>
  <cols>
    <col min="1" max="1" width="14" customWidth="1"/>
    <col min="2" max="2" width="11" customWidth="1"/>
    <col min="3" max="3" width="16" customWidth="1"/>
    <col min="4" max="4" width="11" customWidth="1"/>
    <col min="5" max="5" width="16" customWidth="1"/>
    <col min="6" max="6" width="11" customWidth="1"/>
    <col min="7" max="7" width="14" customWidth="1"/>
    <col min="8" max="8" width="24" customWidth="1"/>
    <col min="9" max="9" width="13" customWidth="1"/>
    <col min="10" max="10" width="9" customWidth="1"/>
  </cols>
  <sheetData>
    <row r="1" spans="1:8" ht="17.399999999999999" x14ac:dyDescent="0.3">
      <c r="A1" s="17" t="s">
        <v>150</v>
      </c>
      <c r="B1" s="17"/>
      <c r="C1" s="17"/>
      <c r="D1" s="17"/>
      <c r="E1" s="17"/>
      <c r="F1" s="17"/>
    </row>
    <row r="2" spans="1:8" x14ac:dyDescent="0.3">
      <c r="A2" s="18" t="s">
        <v>151</v>
      </c>
      <c r="B2" s="18"/>
      <c r="C2" s="18"/>
      <c r="D2" s="18"/>
      <c r="E2" s="18"/>
      <c r="F2" s="18"/>
      <c r="G2" s="18"/>
      <c r="H2" s="18"/>
    </row>
    <row r="4" spans="1:8" ht="27.75" customHeight="1" x14ac:dyDescent="0.3">
      <c r="A4" s="1" t="s">
        <v>152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</row>
    <row r="5" spans="1:8" x14ac:dyDescent="0.3">
      <c r="A5" s="4" t="s">
        <v>158</v>
      </c>
      <c r="B5" s="4">
        <f>SUMPRODUCT(--(LEFT(Tracker!$C$2:$C$1000,1)="A"))</f>
        <v>6</v>
      </c>
      <c r="C5" s="4">
        <f>SUMPRODUCT(--(LEFT(Tracker!$C$2:$C$1000,1)="A"),--(Tracker!$F$2:$F$1000="☑"))</f>
        <v>6</v>
      </c>
      <c r="D5" s="9">
        <f t="shared" ref="D5:D10" si="0">IF(B5=0,0,C5/B5)</f>
        <v>1</v>
      </c>
      <c r="E5" s="4">
        <f>SUMPRODUCT(--(LEFT(Tracker!$C$2:$C$1000,1)="A"),--(Tracker!$G$2:$G$1000="☑"))</f>
        <v>0</v>
      </c>
      <c r="F5" s="9">
        <f t="shared" ref="F5:F10" si="1">IF(B5=0,0,E5/B5)</f>
        <v>0</v>
      </c>
    </row>
    <row r="6" spans="1:8" x14ac:dyDescent="0.3">
      <c r="A6" s="4" t="s">
        <v>159</v>
      </c>
      <c r="B6" s="4">
        <f>SUMPRODUCT(--(LEFT(Tracker!$C$2:$C$1000,1)="B"))</f>
        <v>21</v>
      </c>
      <c r="C6" s="4">
        <f>SUMPRODUCT(--(LEFT(Tracker!$C$2:$C$1000,1)="B"),--(Tracker!$F$2:$F$1000="☑"))</f>
        <v>21</v>
      </c>
      <c r="D6" s="9">
        <f t="shared" si="0"/>
        <v>1</v>
      </c>
      <c r="E6" s="4">
        <f>SUMPRODUCT(--(LEFT(Tracker!$C$2:$C$1000,1)="B"),--(Tracker!$G$2:$G$1000="☑"))</f>
        <v>4</v>
      </c>
      <c r="F6" s="9">
        <f t="shared" si="1"/>
        <v>0.19047619047619047</v>
      </c>
    </row>
    <row r="7" spans="1:8" x14ac:dyDescent="0.3">
      <c r="A7" s="4" t="s">
        <v>160</v>
      </c>
      <c r="B7" s="4">
        <f>SUMPRODUCT(--(LEFT(Tracker!$C$2:$C$1000,1)="C"))</f>
        <v>5</v>
      </c>
      <c r="C7" s="4">
        <f>SUMPRODUCT(--(LEFT(Tracker!$C$2:$C$1000,1)="C"),--(Tracker!$F$2:$F$1000="☑"))</f>
        <v>5</v>
      </c>
      <c r="D7" s="9">
        <f t="shared" si="0"/>
        <v>1</v>
      </c>
      <c r="E7" s="4">
        <f>SUMPRODUCT(--(LEFT(Tracker!$C$2:$C$1000,1)="C"),--(Tracker!$G$2:$G$1000="☑"))</f>
        <v>5</v>
      </c>
      <c r="F7" s="9">
        <f t="shared" si="1"/>
        <v>1</v>
      </c>
    </row>
    <row r="8" spans="1:8" x14ac:dyDescent="0.3">
      <c r="A8" s="4" t="s">
        <v>161</v>
      </c>
      <c r="B8" s="4">
        <f>SUMPRODUCT(--(LEFT(Tracker!$C$2:$C$1000,1)="E"))</f>
        <v>14</v>
      </c>
      <c r="C8" s="4">
        <f>SUMPRODUCT(--(LEFT(Tracker!$C$2:$C$1000,1)="E"),--(Tracker!$F$2:$F$1000="☑"))</f>
        <v>14</v>
      </c>
      <c r="D8" s="9">
        <f t="shared" si="0"/>
        <v>1</v>
      </c>
      <c r="E8" s="4">
        <f>SUMPRODUCT(--(LEFT(Tracker!$C$2:$C$1000,1)="E"),--(Tracker!$G$2:$G$1000="☑"))</f>
        <v>2</v>
      </c>
      <c r="F8" s="9">
        <f t="shared" si="1"/>
        <v>0.14285714285714285</v>
      </c>
    </row>
    <row r="9" spans="1:8" x14ac:dyDescent="0.3">
      <c r="A9" s="4" t="s">
        <v>162</v>
      </c>
      <c r="B9" s="4">
        <f>SUMPRODUCT(--(LEFT(Tracker!$C$2:$C$1000,1)="G"))</f>
        <v>1</v>
      </c>
      <c r="C9" s="4">
        <f>SUMPRODUCT(--(LEFT(Tracker!$C$2:$C$1000,1)="G"),--(Tracker!$F$2:$F$1000="☑"))</f>
        <v>1</v>
      </c>
      <c r="D9" s="9">
        <f t="shared" si="0"/>
        <v>1</v>
      </c>
      <c r="E9" s="4">
        <f>SUMPRODUCT(--(LEFT(Tracker!$C$2:$C$1000,1)="G"),--(Tracker!$G$2:$G$1000="☑"))</f>
        <v>1</v>
      </c>
      <c r="F9" s="9">
        <f t="shared" si="1"/>
        <v>1</v>
      </c>
    </row>
    <row r="10" spans="1:8" x14ac:dyDescent="0.3">
      <c r="A10" s="10" t="s">
        <v>163</v>
      </c>
      <c r="B10" s="10">
        <f>SUM(B5:B9)</f>
        <v>47</v>
      </c>
      <c r="C10" s="10">
        <f>SUM(C5:C9)</f>
        <v>47</v>
      </c>
      <c r="D10" s="11">
        <f t="shared" si="0"/>
        <v>1</v>
      </c>
      <c r="E10" s="10">
        <f>SUM(E5:E9)</f>
        <v>12</v>
      </c>
      <c r="F10" s="11">
        <f t="shared" si="1"/>
        <v>0.25531914893617019</v>
      </c>
    </row>
    <row r="13" spans="1:8" x14ac:dyDescent="0.3">
      <c r="A13" s="12" t="s">
        <v>164</v>
      </c>
    </row>
    <row r="14" spans="1:8" x14ac:dyDescent="0.3">
      <c r="A14" s="13" t="s">
        <v>165</v>
      </c>
    </row>
    <row r="15" spans="1:8" x14ac:dyDescent="0.3">
      <c r="A15" s="13" t="s">
        <v>166</v>
      </c>
    </row>
    <row r="16" spans="1:8" x14ac:dyDescent="0.3">
      <c r="A16" s="13" t="s">
        <v>167</v>
      </c>
    </row>
    <row r="17" spans="1:10" x14ac:dyDescent="0.3">
      <c r="A17" s="13" t="s">
        <v>168</v>
      </c>
    </row>
    <row r="18" spans="1:10" x14ac:dyDescent="0.3">
      <c r="A18" s="13" t="s">
        <v>169</v>
      </c>
    </row>
    <row r="19" spans="1:10" x14ac:dyDescent="0.3">
      <c r="A19" s="13" t="s">
        <v>170</v>
      </c>
    </row>
    <row r="20" spans="1:10" x14ac:dyDescent="0.3">
      <c r="A20" s="13" t="s">
        <v>171</v>
      </c>
    </row>
    <row r="21" spans="1:10" x14ac:dyDescent="0.3">
      <c r="A21" s="13" t="s">
        <v>172</v>
      </c>
    </row>
    <row r="23" spans="1:10" x14ac:dyDescent="0.3">
      <c r="A23" s="14" t="s">
        <v>173</v>
      </c>
    </row>
    <row r="24" spans="1:10" ht="30" customHeight="1" x14ac:dyDescent="0.3">
      <c r="A24" s="15" t="s">
        <v>0</v>
      </c>
      <c r="B24" s="15" t="s">
        <v>1</v>
      </c>
      <c r="C24" s="15" t="s">
        <v>2</v>
      </c>
      <c r="D24" s="15" t="s">
        <v>3</v>
      </c>
      <c r="E24" s="15" t="s">
        <v>4</v>
      </c>
      <c r="F24" s="15" t="s">
        <v>5</v>
      </c>
      <c r="G24" s="15" t="s">
        <v>6</v>
      </c>
      <c r="H24" s="15" t="s">
        <v>7</v>
      </c>
      <c r="I24" s="15" t="s">
        <v>8</v>
      </c>
      <c r="J24" s="15" t="s">
        <v>9</v>
      </c>
    </row>
    <row r="25" spans="1:10" ht="30" customHeight="1" x14ac:dyDescent="0.3">
      <c r="A25" s="16" t="s">
        <v>174</v>
      </c>
      <c r="B25" s="16" t="s">
        <v>175</v>
      </c>
      <c r="C25" s="16" t="s">
        <v>176</v>
      </c>
      <c r="D25" s="16" t="s">
        <v>177</v>
      </c>
      <c r="E25" s="16" t="s">
        <v>178</v>
      </c>
      <c r="F25" s="16" t="s">
        <v>177</v>
      </c>
      <c r="G25" s="16" t="s">
        <v>177</v>
      </c>
      <c r="H25" s="16" t="s">
        <v>179</v>
      </c>
      <c r="I25" s="16" t="s">
        <v>180</v>
      </c>
      <c r="J25" s="16" t="s">
        <v>181</v>
      </c>
    </row>
  </sheetData>
  <mergeCells count="2">
    <mergeCell ref="A1:F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2a6b5528-4285-434f-b76e-26ab133a40a5}" enabled="1" method="Standard" siteId="{cec67000-090c-4104-9e2e-15c6b9440a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Poppe, Anatol</cp:lastModifiedBy>
  <cp:revision>0</cp:revision>
  <dcterms:created xsi:type="dcterms:W3CDTF">2026-07-20T22:12:26Z</dcterms:created>
  <dcterms:modified xsi:type="dcterms:W3CDTF">2026-07-21T15:36:40Z</dcterms:modified>
  <dc:language>en-US</dc:language>
</cp:coreProperties>
</file>